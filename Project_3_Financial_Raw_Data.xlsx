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ltim\Downloads\"/>
    </mc:Choice>
  </mc:AlternateContent>
  <xr:revisionPtr revIDLastSave="0" documentId="13_ncr:1_{743486A2-5564-4026-A017-CA7EDB49BD16}" xr6:coauthVersionLast="47" xr6:coauthVersionMax="47" xr10:uidLastSave="{00000000-0000-0000-0000-000000000000}"/>
  <bookViews>
    <workbookView xWindow="-110" yWindow="-110" windowWidth="19420" windowHeight="10300" activeTab="2" xr2:uid="{00000000-000D-0000-FFFF-FFFF00000000}"/>
  </bookViews>
  <sheets>
    <sheet name="Financial_Raw_Data" sheetId="1" r:id="rId1"/>
    <sheet name="Table2" sheetId="2" r:id="rId2"/>
    <sheet name="Sheet1" sheetId="3" r:id="rId3"/>
    <sheet name="pivot table" sheetId="4" r:id="rId4"/>
  </sheets>
  <definedNames>
    <definedName name="ExternalData_1" localSheetId="1" hidden="1">Table2!$A$1:$L$1001</definedName>
    <definedName name="Slicer_City">#N/A</definedName>
    <definedName name="Slicer_Months__Date">#N/A</definedName>
    <definedName name="Slicer_Product_Category">#N/A</definedName>
    <definedName name="Slicer_Salespers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3" l="1"/>
  <c r="B5" i="3"/>
  <c r="L5" i="3"/>
  <c r="J5" i="3"/>
  <c r="H5" i="3"/>
  <c r="D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9FF23A-2B0F-4DF1-8F18-53B58A8B0901}"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<sst xmlns="http://schemas.openxmlformats.org/spreadsheetml/2006/main" count="17172" uniqueCount="3402">
  <si>
    <t>Transaction ID</t>
  </si>
  <si>
    <t>Date</t>
  </si>
  <si>
    <t>City</t>
  </si>
  <si>
    <t>Product Category</t>
  </si>
  <si>
    <t>Product Name</t>
  </si>
  <si>
    <t>Salesperson</t>
  </si>
  <si>
    <t>Revenue</t>
  </si>
  <si>
    <t>Expenses</t>
  </si>
  <si>
    <t>Payment Method</t>
  </si>
  <si>
    <t>Customer Type</t>
  </si>
  <si>
    <t>T1001</t>
  </si>
  <si>
    <t>2026-04-19</t>
  </si>
  <si>
    <t>Lagos</t>
  </si>
  <si>
    <t>electronics</t>
  </si>
  <si>
    <t>Phone</t>
  </si>
  <si>
    <t>John</t>
  </si>
  <si>
    <t xml:space="preserve"> ₦168,831.40 </t>
  </si>
  <si>
    <t>₦130,857.36</t>
  </si>
  <si>
    <t>Cash</t>
  </si>
  <si>
    <t>Corporate</t>
  </si>
  <si>
    <t>T1002</t>
  </si>
  <si>
    <t>2026-03-16</t>
  </si>
  <si>
    <t xml:space="preserve"> Ibadan </t>
  </si>
  <si>
    <t>Furniture</t>
  </si>
  <si>
    <t>Laptop</t>
  </si>
  <si>
    <t>Tunde</t>
  </si>
  <si>
    <t xml:space="preserve"> ₦199,379.39 </t>
  </si>
  <si>
    <t>₦140,800.19</t>
  </si>
  <si>
    <t>T1003</t>
  </si>
  <si>
    <t>2026-02-21</t>
  </si>
  <si>
    <t xml:space="preserve"> ₦63,929.72 </t>
  </si>
  <si>
    <t>₦59,221.76</t>
  </si>
  <si>
    <t>Transfer</t>
  </si>
  <si>
    <t xml:space="preserve"> corporate</t>
  </si>
  <si>
    <t>T1004</t>
  </si>
  <si>
    <t>08/01/2026</t>
  </si>
  <si>
    <t>Office Supplies</t>
  </si>
  <si>
    <t>Cabinet</t>
  </si>
  <si>
    <t>Aisha</t>
  </si>
  <si>
    <t xml:space="preserve"> ₦309,517.33 </t>
  </si>
  <si>
    <t>₦138,144.12</t>
  </si>
  <si>
    <t>Retail</t>
  </si>
  <si>
    <t>T1005</t>
  </si>
  <si>
    <t>09/03/2026</t>
  </si>
  <si>
    <t>furniture</t>
  </si>
  <si>
    <t>Chair</t>
  </si>
  <si>
    <t>Mary</t>
  </si>
  <si>
    <t xml:space="preserve"> ₦337,067.28 </t>
  </si>
  <si>
    <t>₦225,842.63</t>
  </si>
  <si>
    <t>Card</t>
  </si>
  <si>
    <t>T1006</t>
  </si>
  <si>
    <t>02/05/2026</t>
  </si>
  <si>
    <t>Abuja</t>
  </si>
  <si>
    <t>Electronics</t>
  </si>
  <si>
    <t xml:space="preserve"> ₦71,943.35 </t>
  </si>
  <si>
    <t>₦38,807.26</t>
  </si>
  <si>
    <t>T1007</t>
  </si>
  <si>
    <t>2026-04-11</t>
  </si>
  <si>
    <t xml:space="preserve"> ₦306,928.60 </t>
  </si>
  <si>
    <t>₦246,387.00</t>
  </si>
  <si>
    <t>T1008</t>
  </si>
  <si>
    <t>2026-03-06</t>
  </si>
  <si>
    <t xml:space="preserve"> ₦102,839.26 </t>
  </si>
  <si>
    <t>₦84,800.59</t>
  </si>
  <si>
    <t>retail</t>
  </si>
  <si>
    <t>T1009</t>
  </si>
  <si>
    <t>17/03/2026</t>
  </si>
  <si>
    <t>Kano</t>
  </si>
  <si>
    <t xml:space="preserve"> ₦361,969.43 </t>
  </si>
  <si>
    <t>₦208,681.93</t>
  </si>
  <si>
    <t>T1010</t>
  </si>
  <si>
    <t>14/04/2026</t>
  </si>
  <si>
    <t>lagos</t>
  </si>
  <si>
    <t>office supplies</t>
  </si>
  <si>
    <t>Grace</t>
  </si>
  <si>
    <t xml:space="preserve"> ₦482,620.52 </t>
  </si>
  <si>
    <t>₦205,211.58</t>
  </si>
  <si>
    <t>T1011</t>
  </si>
  <si>
    <t>2026-06-30</t>
  </si>
  <si>
    <t>David</t>
  </si>
  <si>
    <t xml:space="preserve"> ₦361,384.97 </t>
  </si>
  <si>
    <t>₦308,401.21</t>
  </si>
  <si>
    <t>T1012</t>
  </si>
  <si>
    <t>2026-05-15</t>
  </si>
  <si>
    <t xml:space="preserve"> ₦187,082.52 </t>
  </si>
  <si>
    <t>₦160,095.74</t>
  </si>
  <si>
    <t>T1013</t>
  </si>
  <si>
    <t xml:space="preserve"> ₦83,953.98 </t>
  </si>
  <si>
    <t>₦61,880.03</t>
  </si>
  <si>
    <t>T1014</t>
  </si>
  <si>
    <t>2026-06-17</t>
  </si>
  <si>
    <t xml:space="preserve"> ₦312,644.78 </t>
  </si>
  <si>
    <t>₦206,141.32</t>
  </si>
  <si>
    <t>T1015</t>
  </si>
  <si>
    <t>06/05/2026</t>
  </si>
  <si>
    <t xml:space="preserve"> ₦470,058.61 </t>
  </si>
  <si>
    <t>₦266,919.97</t>
  </si>
  <si>
    <t>T1016</t>
  </si>
  <si>
    <t>13/02/2026</t>
  </si>
  <si>
    <t>Port Harcourt</t>
  </si>
  <si>
    <t xml:space="preserve"> ₦260,107.37 </t>
  </si>
  <si>
    <t>₦172,887.29</t>
  </si>
  <si>
    <t>T1017</t>
  </si>
  <si>
    <t>2026-06-12</t>
  </si>
  <si>
    <t xml:space="preserve"> ₦52,032.78 </t>
  </si>
  <si>
    <t>₦21,343.37</t>
  </si>
  <si>
    <t>T1018</t>
  </si>
  <si>
    <t>2026-04-22</t>
  </si>
  <si>
    <t>LAGOS</t>
  </si>
  <si>
    <t>Desk</t>
  </si>
  <si>
    <t xml:space="preserve"> ₦301,665.83 </t>
  </si>
  <si>
    <t>₦137,745.12</t>
  </si>
  <si>
    <t>T1019</t>
  </si>
  <si>
    <t>2026-06-10</t>
  </si>
  <si>
    <t xml:space="preserve"> ₦483,140.55 </t>
  </si>
  <si>
    <t>₦229,738.75</t>
  </si>
  <si>
    <t>T1020</t>
  </si>
  <si>
    <t>29/05/2026</t>
  </si>
  <si>
    <t xml:space="preserve"> ₦468,628.03 </t>
  </si>
  <si>
    <t>₦296,066.03</t>
  </si>
  <si>
    <t>T1021</t>
  </si>
  <si>
    <t>2026-04-01</t>
  </si>
  <si>
    <t xml:space="preserve"> ₦327,723.54 </t>
  </si>
  <si>
    <t>₦143,882.43</t>
  </si>
  <si>
    <t>T1022</t>
  </si>
  <si>
    <t>2026-03-11</t>
  </si>
  <si>
    <t xml:space="preserve"> ₦489,435.84 </t>
  </si>
  <si>
    <t>₦306,359.64</t>
  </si>
  <si>
    <t>T1023</t>
  </si>
  <si>
    <t>2026-01-05</t>
  </si>
  <si>
    <t xml:space="preserve"> ₦343,219.61 </t>
  </si>
  <si>
    <t>₦254,141.11</t>
  </si>
  <si>
    <t>T1024</t>
  </si>
  <si>
    <t>2026-04-10</t>
  </si>
  <si>
    <t>Printer</t>
  </si>
  <si>
    <t xml:space="preserve"> ₦450,586.60 </t>
  </si>
  <si>
    <t>₦319,442.40</t>
  </si>
  <si>
    <t>T1025</t>
  </si>
  <si>
    <t>17/05/2026</t>
  </si>
  <si>
    <t xml:space="preserve"> ₦499,692.01 </t>
  </si>
  <si>
    <t>₦426,010.28</t>
  </si>
  <si>
    <t>T1026</t>
  </si>
  <si>
    <t>12/04/2026</t>
  </si>
  <si>
    <t xml:space="preserve"> ₦121,506.95 </t>
  </si>
  <si>
    <t>₦67,147.11</t>
  </si>
  <si>
    <t>T1027</t>
  </si>
  <si>
    <t>16/04/2026</t>
  </si>
  <si>
    <t xml:space="preserve"> ₦404,737.25 </t>
  </si>
  <si>
    <t>₦327,970.82</t>
  </si>
  <si>
    <t>T1028</t>
  </si>
  <si>
    <t>27/04/2026</t>
  </si>
  <si>
    <t xml:space="preserve"> ₦405,502.72 </t>
  </si>
  <si>
    <t>₦227,817.24</t>
  </si>
  <si>
    <t>T1029</t>
  </si>
  <si>
    <t>20/02/2026</t>
  </si>
  <si>
    <t xml:space="preserve"> ₦478,719.71 </t>
  </si>
  <si>
    <t>₦401,787.92</t>
  </si>
  <si>
    <t>T1030</t>
  </si>
  <si>
    <t>12/06/2026</t>
  </si>
  <si>
    <t xml:space="preserve"> ₦411,931.96 </t>
  </si>
  <si>
    <t>₦168,530.75</t>
  </si>
  <si>
    <t>T1031</t>
  </si>
  <si>
    <t>14/06/2026</t>
  </si>
  <si>
    <t xml:space="preserve"> ₦440,028.14 </t>
  </si>
  <si>
    <t>₦357,522.59</t>
  </si>
  <si>
    <t>T1032</t>
  </si>
  <si>
    <t>2026-05-19</t>
  </si>
  <si>
    <t xml:space="preserve"> ₦100,955.29 </t>
  </si>
  <si>
    <t>₦62,427.56</t>
  </si>
  <si>
    <t>T1033</t>
  </si>
  <si>
    <t>21/03/2026</t>
  </si>
  <si>
    <t xml:space="preserve"> ₦80,794.56 </t>
  </si>
  <si>
    <t>₦61,781.24</t>
  </si>
  <si>
    <t>T1034</t>
  </si>
  <si>
    <t>13/03/2026</t>
  </si>
  <si>
    <t xml:space="preserve"> ₦400,252.39 </t>
  </si>
  <si>
    <t>₦246,563.61</t>
  </si>
  <si>
    <t>T1035</t>
  </si>
  <si>
    <t>06/01/2026</t>
  </si>
  <si>
    <t xml:space="preserve"> ₦477,503.18 </t>
  </si>
  <si>
    <t>₦224,084.48</t>
  </si>
  <si>
    <t>T1036</t>
  </si>
  <si>
    <t>2026-01-08</t>
  </si>
  <si>
    <t xml:space="preserve"> ₦185,582.60 </t>
  </si>
  <si>
    <t>₦108,762.74</t>
  </si>
  <si>
    <t>T1037</t>
  </si>
  <si>
    <t>2026-03-14</t>
  </si>
  <si>
    <t xml:space="preserve"> ₦413,265.62 </t>
  </si>
  <si>
    <t>₦276,015.30</t>
  </si>
  <si>
    <t>T1038</t>
  </si>
  <si>
    <t>2026-05-17</t>
  </si>
  <si>
    <t xml:space="preserve"> ₦418,782.26 </t>
  </si>
  <si>
    <t>₦264,225.88</t>
  </si>
  <si>
    <t>T1039</t>
  </si>
  <si>
    <t xml:space="preserve"> ₦310,371.40 </t>
  </si>
  <si>
    <t>₦275,134.44</t>
  </si>
  <si>
    <t>T1040</t>
  </si>
  <si>
    <t>2026-04-17</t>
  </si>
  <si>
    <t xml:space="preserve"> ₦292,546.58 </t>
  </si>
  <si>
    <t>₦260,763.03</t>
  </si>
  <si>
    <t>T1041</t>
  </si>
  <si>
    <t>11/05/2026</t>
  </si>
  <si>
    <t xml:space="preserve"> ₦396,944.19 </t>
  </si>
  <si>
    <t>₦294,949.71</t>
  </si>
  <si>
    <t>T1042</t>
  </si>
  <si>
    <t>2026-02-18</t>
  </si>
  <si>
    <t xml:space="preserve"> ₦444,976.20 </t>
  </si>
  <si>
    <t>₦314,883.61</t>
  </si>
  <si>
    <t>T1043</t>
  </si>
  <si>
    <t>2026-03-20</t>
  </si>
  <si>
    <t xml:space="preserve"> ₦496,150.81 </t>
  </si>
  <si>
    <t>₦343,873.48</t>
  </si>
  <si>
    <t>T1044</t>
  </si>
  <si>
    <t>26/02/2026</t>
  </si>
  <si>
    <t xml:space="preserve"> ₦124,157.72 </t>
  </si>
  <si>
    <t>₦56,287.76</t>
  </si>
  <si>
    <t>T1045</t>
  </si>
  <si>
    <t>2026-02-03</t>
  </si>
  <si>
    <t xml:space="preserve"> ₦51,309.40 </t>
  </si>
  <si>
    <t>₦27,019.84</t>
  </si>
  <si>
    <t>T1046</t>
  </si>
  <si>
    <t>2026-06-21</t>
  </si>
  <si>
    <t xml:space="preserve"> ₦67,955.89 </t>
  </si>
  <si>
    <t>₦52,458.65</t>
  </si>
  <si>
    <t>T1047</t>
  </si>
  <si>
    <t>2026-03-13</t>
  </si>
  <si>
    <t xml:space="preserve"> ₦73,568.86 </t>
  </si>
  <si>
    <t>₦36,806.02</t>
  </si>
  <si>
    <t>T1048</t>
  </si>
  <si>
    <t>2026-01-22</t>
  </si>
  <si>
    <t xml:space="preserve"> ₦375,406.75 </t>
  </si>
  <si>
    <t>₦200,141.72</t>
  </si>
  <si>
    <t>T1049</t>
  </si>
  <si>
    <t>27/01/2026</t>
  </si>
  <si>
    <t xml:space="preserve"> ₦211,612.99 </t>
  </si>
  <si>
    <t>₦175,165.36</t>
  </si>
  <si>
    <t>T1050</t>
  </si>
  <si>
    <t>17/02/2026</t>
  </si>
  <si>
    <t xml:space="preserve"> ₦181,315.50 </t>
  </si>
  <si>
    <t>₦74,264.27</t>
  </si>
  <si>
    <t>T1051</t>
  </si>
  <si>
    <t>13/06/2026</t>
  </si>
  <si>
    <t xml:space="preserve"> ₦258,857.50 </t>
  </si>
  <si>
    <t>₦216,660.36</t>
  </si>
  <si>
    <t>T1052</t>
  </si>
  <si>
    <t>20/04/2026</t>
  </si>
  <si>
    <t xml:space="preserve"> ₦386,341.16 </t>
  </si>
  <si>
    <t>₦206,972.68</t>
  </si>
  <si>
    <t>T1053</t>
  </si>
  <si>
    <t>2026-01-27</t>
  </si>
  <si>
    <t xml:space="preserve"> ₦201,213.38 </t>
  </si>
  <si>
    <t>₦109,072.27</t>
  </si>
  <si>
    <t>T1054</t>
  </si>
  <si>
    <t>12/05/2026</t>
  </si>
  <si>
    <t xml:space="preserve"> ₦192,768.27 </t>
  </si>
  <si>
    <t>₦111,583.30</t>
  </si>
  <si>
    <t>T1055</t>
  </si>
  <si>
    <t>28/05/2026</t>
  </si>
  <si>
    <t xml:space="preserve"> ₦265,682.98 </t>
  </si>
  <si>
    <t>₦146,319.50</t>
  </si>
  <si>
    <t>T1056</t>
  </si>
  <si>
    <t>28/03/2026</t>
  </si>
  <si>
    <t xml:space="preserve"> ₦62,180.55 </t>
  </si>
  <si>
    <t>₦29,816.43</t>
  </si>
  <si>
    <t>T1057</t>
  </si>
  <si>
    <t>22/02/2026</t>
  </si>
  <si>
    <t xml:space="preserve"> ₦228,877.57 </t>
  </si>
  <si>
    <t>₦196,899.71</t>
  </si>
  <si>
    <t>T1058</t>
  </si>
  <si>
    <t xml:space="preserve"> ₦208,378.10 </t>
  </si>
  <si>
    <t>₦169,874.61</t>
  </si>
  <si>
    <t>T1059</t>
  </si>
  <si>
    <t xml:space="preserve"> ₦186,742.49 </t>
  </si>
  <si>
    <t>₦160,428.27</t>
  </si>
  <si>
    <t>T1060</t>
  </si>
  <si>
    <t>16/02/2026</t>
  </si>
  <si>
    <t xml:space="preserve"> ₦182,677.24 </t>
  </si>
  <si>
    <t>₦130,776.61</t>
  </si>
  <si>
    <t>T1061</t>
  </si>
  <si>
    <t>2026-03-17</t>
  </si>
  <si>
    <t xml:space="preserve"> ₦66,331.01 </t>
  </si>
  <si>
    <t>₦42,666.59</t>
  </si>
  <si>
    <t>T1062</t>
  </si>
  <si>
    <t xml:space="preserve"> ₦298,871.80 </t>
  </si>
  <si>
    <t>₦144,770.91</t>
  </si>
  <si>
    <t>T1063</t>
  </si>
  <si>
    <t>05/03/2026</t>
  </si>
  <si>
    <t xml:space="preserve"> ₦229,265.26 </t>
  </si>
  <si>
    <t>₦217,496.12</t>
  </si>
  <si>
    <t>T1064</t>
  </si>
  <si>
    <t>2026-05-21</t>
  </si>
  <si>
    <t xml:space="preserve"> ₦470,795.35 </t>
  </si>
  <si>
    <t>₦250,052.87</t>
  </si>
  <si>
    <t>T1065</t>
  </si>
  <si>
    <t>2026-01-24</t>
  </si>
  <si>
    <t xml:space="preserve"> ₦482,831.58 </t>
  </si>
  <si>
    <t>₦384,402.04</t>
  </si>
  <si>
    <t>T1066</t>
  </si>
  <si>
    <t>10/01/2026</t>
  </si>
  <si>
    <t xml:space="preserve"> ₦376,513.27 </t>
  </si>
  <si>
    <t>₦334,623.93</t>
  </si>
  <si>
    <t>T1067</t>
  </si>
  <si>
    <t>2026-01-29</t>
  </si>
  <si>
    <t xml:space="preserve"> ₦487,725.33 </t>
  </si>
  <si>
    <t>₦457,200.05</t>
  </si>
  <si>
    <t>T1068</t>
  </si>
  <si>
    <t xml:space="preserve"> ₦280,832.71 </t>
  </si>
  <si>
    <t>₦184,466.76</t>
  </si>
  <si>
    <t>T1069</t>
  </si>
  <si>
    <t>2026-05-20</t>
  </si>
  <si>
    <t xml:space="preserve"> ₦410,065.81 </t>
  </si>
  <si>
    <t>₦199,532.73</t>
  </si>
  <si>
    <t>T1070</t>
  </si>
  <si>
    <t>2026-01-19</t>
  </si>
  <si>
    <t xml:space="preserve"> ₦413,403.59 </t>
  </si>
  <si>
    <t>₦304,778.18</t>
  </si>
  <si>
    <t>T1071</t>
  </si>
  <si>
    <t>19/03/2026</t>
  </si>
  <si>
    <t xml:space="preserve"> ₦223,845.03 </t>
  </si>
  <si>
    <t>₦198,806.77</t>
  </si>
  <si>
    <t>T1072</t>
  </si>
  <si>
    <t>2026-05-04</t>
  </si>
  <si>
    <t xml:space="preserve"> ₦386,090.38 </t>
  </si>
  <si>
    <t>₦254,368.71</t>
  </si>
  <si>
    <t>T1073</t>
  </si>
  <si>
    <t xml:space="preserve"> ₦400,889.95 </t>
  </si>
  <si>
    <t>₦197,711.44</t>
  </si>
  <si>
    <t>T1074</t>
  </si>
  <si>
    <t>2026-04-21</t>
  </si>
  <si>
    <t xml:space="preserve"> ₦240,398.26 </t>
  </si>
  <si>
    <t>₦104,925.51</t>
  </si>
  <si>
    <t>T1075</t>
  </si>
  <si>
    <t>14/01/2026</t>
  </si>
  <si>
    <t xml:space="preserve"> ₦462,583.69 </t>
  </si>
  <si>
    <t>₦363,526.64</t>
  </si>
  <si>
    <t>T1076</t>
  </si>
  <si>
    <t>2026-06-14</t>
  </si>
  <si>
    <t xml:space="preserve"> ₦129,069.69 </t>
  </si>
  <si>
    <t>₦57,555.38</t>
  </si>
  <si>
    <t>T1077</t>
  </si>
  <si>
    <t xml:space="preserve"> ₦390,713.36 </t>
  </si>
  <si>
    <t>₦300,012.75</t>
  </si>
  <si>
    <t>T1078</t>
  </si>
  <si>
    <t>08/02/2026</t>
  </si>
  <si>
    <t xml:space="preserve"> ₦98,046.13 </t>
  </si>
  <si>
    <t>₦52,426.62</t>
  </si>
  <si>
    <t>T1079</t>
  </si>
  <si>
    <t>2026-02-05</t>
  </si>
  <si>
    <t xml:space="preserve"> ₦238,492.84 </t>
  </si>
  <si>
    <t>₦136,727.38</t>
  </si>
  <si>
    <t>T1080</t>
  </si>
  <si>
    <t>2026-05-03</t>
  </si>
  <si>
    <t xml:space="preserve"> ₦382,890.48 </t>
  </si>
  <si>
    <t>₦185,833.63</t>
  </si>
  <si>
    <t>T1081</t>
  </si>
  <si>
    <t xml:space="preserve"> ₦477,962.49 </t>
  </si>
  <si>
    <t>₦344,074.47</t>
  </si>
  <si>
    <t>T1082</t>
  </si>
  <si>
    <t>2026-02-15</t>
  </si>
  <si>
    <t xml:space="preserve"> ₦76,469.05 </t>
  </si>
  <si>
    <t>₦33,124.40</t>
  </si>
  <si>
    <t>T1083</t>
  </si>
  <si>
    <t xml:space="preserve"> ₦460,400.23 </t>
  </si>
  <si>
    <t>₦423,765.89</t>
  </si>
  <si>
    <t>T1084</t>
  </si>
  <si>
    <t xml:space="preserve"> ₦283,649.38 </t>
  </si>
  <si>
    <t>₦151,370.80</t>
  </si>
  <si>
    <t>T1085</t>
  </si>
  <si>
    <t>2026-03-18</t>
  </si>
  <si>
    <t xml:space="preserve"> ₦173,639.74 </t>
  </si>
  <si>
    <t>₦158,595.12</t>
  </si>
  <si>
    <t>T1086</t>
  </si>
  <si>
    <t xml:space="preserve"> ₦429,720.40 </t>
  </si>
  <si>
    <t>₦349,362.37</t>
  </si>
  <si>
    <t>T1087</t>
  </si>
  <si>
    <t>07/04/2026</t>
  </si>
  <si>
    <t xml:space="preserve"> ₦136,946.10 </t>
  </si>
  <si>
    <t>₦74,304.96</t>
  </si>
  <si>
    <t>T1088</t>
  </si>
  <si>
    <t>2026-05-02</t>
  </si>
  <si>
    <t xml:space="preserve"> ₦179,384.44 </t>
  </si>
  <si>
    <t>₦152,339.64</t>
  </si>
  <si>
    <t>T1089</t>
  </si>
  <si>
    <t>28/01/2026</t>
  </si>
  <si>
    <t xml:space="preserve"> ₦288,212.14 </t>
  </si>
  <si>
    <t>₦147,389.27</t>
  </si>
  <si>
    <t>T1090</t>
  </si>
  <si>
    <t xml:space="preserve"> ₦335,010.76 </t>
  </si>
  <si>
    <t>₦199,589.88</t>
  </si>
  <si>
    <t>T1091</t>
  </si>
  <si>
    <t>2026-03-25</t>
  </si>
  <si>
    <t xml:space="preserve"> ₦330,498.94 </t>
  </si>
  <si>
    <t>₦308,337.29</t>
  </si>
  <si>
    <t>T1092</t>
  </si>
  <si>
    <t>10/03/2026</t>
  </si>
  <si>
    <t xml:space="preserve"> ₦73,464.86 </t>
  </si>
  <si>
    <t>₦35,803.90</t>
  </si>
  <si>
    <t>T1093</t>
  </si>
  <si>
    <t>09/01/2026</t>
  </si>
  <si>
    <t xml:space="preserve"> ₦393,026.67 </t>
  </si>
  <si>
    <t>₦165,563.78</t>
  </si>
  <si>
    <t>T1094</t>
  </si>
  <si>
    <t>2026-05-26</t>
  </si>
  <si>
    <t xml:space="preserve"> ₦308,295.52 </t>
  </si>
  <si>
    <t>₦248,891.57</t>
  </si>
  <si>
    <t>T1095</t>
  </si>
  <si>
    <t xml:space="preserve"> ₦345,126.14 </t>
  </si>
  <si>
    <t>₦268,885.66</t>
  </si>
  <si>
    <t>T1096</t>
  </si>
  <si>
    <t xml:space="preserve"> ₦86,277.20 </t>
  </si>
  <si>
    <t>₦42,379.19</t>
  </si>
  <si>
    <t>T1097</t>
  </si>
  <si>
    <t xml:space="preserve"> ₦328,381.17 </t>
  </si>
  <si>
    <t>₦157,645.52</t>
  </si>
  <si>
    <t>T1098</t>
  </si>
  <si>
    <t>08/06/2026</t>
  </si>
  <si>
    <t xml:space="preserve"> ₦462,003.06 </t>
  </si>
  <si>
    <t>₦368,228.84</t>
  </si>
  <si>
    <t>T1099</t>
  </si>
  <si>
    <t>25/03/2026</t>
  </si>
  <si>
    <t xml:space="preserve"> ₦59,191.38 </t>
  </si>
  <si>
    <t>₦24,292.77</t>
  </si>
  <si>
    <t>T1100</t>
  </si>
  <si>
    <t xml:space="preserve"> ₦81,260.99 </t>
  </si>
  <si>
    <t>₦32,590.35</t>
  </si>
  <si>
    <t>T1101</t>
  </si>
  <si>
    <t>30/06/2026</t>
  </si>
  <si>
    <t xml:space="preserve"> ₦229,665.54 </t>
  </si>
  <si>
    <t>₦194,887.65</t>
  </si>
  <si>
    <t>T1102</t>
  </si>
  <si>
    <t>2026-02-20</t>
  </si>
  <si>
    <t xml:space="preserve"> ₦375,853.58 </t>
  </si>
  <si>
    <t>₦207,300.58</t>
  </si>
  <si>
    <t>T1103</t>
  </si>
  <si>
    <t>2026-03-21</t>
  </si>
  <si>
    <t xml:space="preserve"> ₦93,542.33 </t>
  </si>
  <si>
    <t>₦74,670.89</t>
  </si>
  <si>
    <t>T1104</t>
  </si>
  <si>
    <t>2026-06-13</t>
  </si>
  <si>
    <t xml:space="preserve"> ₦406,436.60 </t>
  </si>
  <si>
    <t>₦336,530.41</t>
  </si>
  <si>
    <t>T1105</t>
  </si>
  <si>
    <t>07/05/2026</t>
  </si>
  <si>
    <t xml:space="preserve"> ₦289,297.53 </t>
  </si>
  <si>
    <t>₦218,713.45</t>
  </si>
  <si>
    <t>T1106</t>
  </si>
  <si>
    <t>29/03/2026</t>
  </si>
  <si>
    <t xml:space="preserve"> ₦360,907.48 </t>
  </si>
  <si>
    <t>₦179,204.35</t>
  </si>
  <si>
    <t>T1107</t>
  </si>
  <si>
    <t>21/05/2026</t>
  </si>
  <si>
    <t xml:space="preserve"> ₦251,664.93 </t>
  </si>
  <si>
    <t>₦141,181.12</t>
  </si>
  <si>
    <t>T1108</t>
  </si>
  <si>
    <t>25/01/2026</t>
  </si>
  <si>
    <t xml:space="preserve"> ₦132,853.65 </t>
  </si>
  <si>
    <t>₦66,988.48</t>
  </si>
  <si>
    <t>T1109</t>
  </si>
  <si>
    <t xml:space="preserve"> ₦359,868.46 </t>
  </si>
  <si>
    <t>₦195,725.05</t>
  </si>
  <si>
    <t>T1110</t>
  </si>
  <si>
    <t>2026-04-27</t>
  </si>
  <si>
    <t xml:space="preserve"> ₦484,902.99 </t>
  </si>
  <si>
    <t>₦332,582.38</t>
  </si>
  <si>
    <t>T1111</t>
  </si>
  <si>
    <t>2026-03-23</t>
  </si>
  <si>
    <t xml:space="preserve"> ₦416,079.01 </t>
  </si>
  <si>
    <t>₦354,501.30</t>
  </si>
  <si>
    <t>T1112</t>
  </si>
  <si>
    <t>2026-04-05</t>
  </si>
  <si>
    <t xml:space="preserve"> ₦393,669.91 </t>
  </si>
  <si>
    <t>₦325,104.12</t>
  </si>
  <si>
    <t>T1113</t>
  </si>
  <si>
    <t>2026-02-07</t>
  </si>
  <si>
    <t xml:space="preserve"> ₦164,257.73 </t>
  </si>
  <si>
    <t>₦83,721.71</t>
  </si>
  <si>
    <t>T1114</t>
  </si>
  <si>
    <t>06/04/2026</t>
  </si>
  <si>
    <t xml:space="preserve"> ₦231,101.41 </t>
  </si>
  <si>
    <t>₦113,693.29</t>
  </si>
  <si>
    <t>T1115</t>
  </si>
  <si>
    <t>2026-03-12</t>
  </si>
  <si>
    <t xml:space="preserve"> ₦396,911.44 </t>
  </si>
  <si>
    <t>₦242,812.08</t>
  </si>
  <si>
    <t>T1116</t>
  </si>
  <si>
    <t>2026-04-20</t>
  </si>
  <si>
    <t xml:space="preserve"> ₦306,826.30 </t>
  </si>
  <si>
    <t>₦168,362.10</t>
  </si>
  <si>
    <t>T1117</t>
  </si>
  <si>
    <t>24/05/2026</t>
  </si>
  <si>
    <t xml:space="preserve"> ₦122,058.62 </t>
  </si>
  <si>
    <t>₦51,117.79</t>
  </si>
  <si>
    <t>T1118</t>
  </si>
  <si>
    <t>18/01/2026</t>
  </si>
  <si>
    <t xml:space="preserve"> ₦98,259.17 </t>
  </si>
  <si>
    <t>₦57,438.00</t>
  </si>
  <si>
    <t>T1119</t>
  </si>
  <si>
    <t>09/05/2026</t>
  </si>
  <si>
    <t xml:space="preserve"> ₦385,275.69 </t>
  </si>
  <si>
    <t>₦171,294.66</t>
  </si>
  <si>
    <t>T1120</t>
  </si>
  <si>
    <t xml:space="preserve"> ₦415,198.21 </t>
  </si>
  <si>
    <t>₦210,682.81</t>
  </si>
  <si>
    <t>T1121</t>
  </si>
  <si>
    <t>2026-02-11</t>
  </si>
  <si>
    <t xml:space="preserve"> ₦273,382.48 </t>
  </si>
  <si>
    <t>₦242,845.37</t>
  </si>
  <si>
    <t>T1122</t>
  </si>
  <si>
    <t>2026-06-09</t>
  </si>
  <si>
    <t xml:space="preserve"> ₦84,589.69 </t>
  </si>
  <si>
    <t>₦56,084.70</t>
  </si>
  <si>
    <t>T1123</t>
  </si>
  <si>
    <t xml:space="preserve"> ₦97,552.73 </t>
  </si>
  <si>
    <t>₦72,505.74</t>
  </si>
  <si>
    <t>T1124</t>
  </si>
  <si>
    <t>11/04/2026</t>
  </si>
  <si>
    <t xml:space="preserve"> ₦228,344.58 </t>
  </si>
  <si>
    <t>₦170,766.58</t>
  </si>
  <si>
    <t>T1125</t>
  </si>
  <si>
    <t>2026-04-02</t>
  </si>
  <si>
    <t xml:space="preserve"> ₦478,236.74 </t>
  </si>
  <si>
    <t>₦429,385.54</t>
  </si>
  <si>
    <t>T1126</t>
  </si>
  <si>
    <t>2026-06-27</t>
  </si>
  <si>
    <t xml:space="preserve"> ₦286,057.71 </t>
  </si>
  <si>
    <t>₦131,304.89</t>
  </si>
  <si>
    <t>T1127</t>
  </si>
  <si>
    <t>2026-04-24</t>
  </si>
  <si>
    <t xml:space="preserve"> ₦252,345.56 </t>
  </si>
  <si>
    <t>₦115,862.17</t>
  </si>
  <si>
    <t>T1128</t>
  </si>
  <si>
    <t>16/05/2026</t>
  </si>
  <si>
    <t xml:space="preserve"> ₦370,311.18 </t>
  </si>
  <si>
    <t>₦206,450.44</t>
  </si>
  <si>
    <t>T1129</t>
  </si>
  <si>
    <t>2026-05-25</t>
  </si>
  <si>
    <t xml:space="preserve"> ₦439,590.70 </t>
  </si>
  <si>
    <t>₦363,955.37</t>
  </si>
  <si>
    <t>T1130</t>
  </si>
  <si>
    <t>2026-02-02</t>
  </si>
  <si>
    <t xml:space="preserve"> ₦74,595.21 </t>
  </si>
  <si>
    <t>₦63,488.21</t>
  </si>
  <si>
    <t>T1131</t>
  </si>
  <si>
    <t>31/03/2026</t>
  </si>
  <si>
    <t xml:space="preserve"> ₦487,369.64 </t>
  </si>
  <si>
    <t>₦205,124.71</t>
  </si>
  <si>
    <t>T1132</t>
  </si>
  <si>
    <t>2026-02-25</t>
  </si>
  <si>
    <t xml:space="preserve"> ₦385,689.49 </t>
  </si>
  <si>
    <t>₦203,021.18</t>
  </si>
  <si>
    <t>T1133</t>
  </si>
  <si>
    <t xml:space="preserve"> ₦240,256.51 </t>
  </si>
  <si>
    <t>₦189,393.10</t>
  </si>
  <si>
    <t>T1134</t>
  </si>
  <si>
    <t xml:space="preserve"> ₦156,169.39 </t>
  </si>
  <si>
    <t>₦82,523.14</t>
  </si>
  <si>
    <t>T1135</t>
  </si>
  <si>
    <t>2026-03-30</t>
  </si>
  <si>
    <t xml:space="preserve"> ₦427,278.26 </t>
  </si>
  <si>
    <t>₦302,855.17</t>
  </si>
  <si>
    <t>T1136</t>
  </si>
  <si>
    <t>2026-03-24</t>
  </si>
  <si>
    <t xml:space="preserve"> ₦151,627.88 </t>
  </si>
  <si>
    <t>₦126,745.90</t>
  </si>
  <si>
    <t>T1137</t>
  </si>
  <si>
    <t xml:space="preserve"> ₦469,732.48 </t>
  </si>
  <si>
    <t>₦193,192.12</t>
  </si>
  <si>
    <t>T1138</t>
  </si>
  <si>
    <t xml:space="preserve"> ₦334,239.75 </t>
  </si>
  <si>
    <t>₦223,746.79</t>
  </si>
  <si>
    <t>T1139</t>
  </si>
  <si>
    <t>2026-05-18</t>
  </si>
  <si>
    <t xml:space="preserve"> ₦113,166.85 </t>
  </si>
  <si>
    <t>₦87,297.46</t>
  </si>
  <si>
    <t>T1140</t>
  </si>
  <si>
    <t>02/04/2026</t>
  </si>
  <si>
    <t xml:space="preserve"> ₦227,502.19 </t>
  </si>
  <si>
    <t>₦165,260.18</t>
  </si>
  <si>
    <t>T1141</t>
  </si>
  <si>
    <t>03/01/2026</t>
  </si>
  <si>
    <t xml:space="preserve"> ₦149,135.44 </t>
  </si>
  <si>
    <t>₦126,520.22</t>
  </si>
  <si>
    <t>T1142</t>
  </si>
  <si>
    <t>23/03/2026</t>
  </si>
  <si>
    <t xml:space="preserve"> ₦214,540.93 </t>
  </si>
  <si>
    <t>₦120,323.53</t>
  </si>
  <si>
    <t>T1143</t>
  </si>
  <si>
    <t xml:space="preserve"> ₦179,377.66 </t>
  </si>
  <si>
    <t>₦79,593.73</t>
  </si>
  <si>
    <t>T1144</t>
  </si>
  <si>
    <t>2026-05-22</t>
  </si>
  <si>
    <t xml:space="preserve"> ₦196,712.46 </t>
  </si>
  <si>
    <t>₦117,489.79</t>
  </si>
  <si>
    <t>T1145</t>
  </si>
  <si>
    <t>2026-04-23</t>
  </si>
  <si>
    <t xml:space="preserve"> ₦215,335.37 </t>
  </si>
  <si>
    <t>₦162,845.58</t>
  </si>
  <si>
    <t>T1146</t>
  </si>
  <si>
    <t>2026-04-14</t>
  </si>
  <si>
    <t xml:space="preserve"> ₦185,990.09 </t>
  </si>
  <si>
    <t>₦172,151.51</t>
  </si>
  <si>
    <t>T1147</t>
  </si>
  <si>
    <t>06/03/2026</t>
  </si>
  <si>
    <t xml:space="preserve"> ₦392,874.24 </t>
  </si>
  <si>
    <t>₦248,117.14</t>
  </si>
  <si>
    <t>T1148</t>
  </si>
  <si>
    <t>09/04/2026</t>
  </si>
  <si>
    <t xml:space="preserve"> ₦410,693.98 </t>
  </si>
  <si>
    <t>₦278,717.56</t>
  </si>
  <si>
    <t>T1149</t>
  </si>
  <si>
    <t>07/01/2026</t>
  </si>
  <si>
    <t xml:space="preserve"> ₦212,036.71 </t>
  </si>
  <si>
    <t>₦110,364.93</t>
  </si>
  <si>
    <t>T1150</t>
  </si>
  <si>
    <t xml:space="preserve"> ₦206,403.18 </t>
  </si>
  <si>
    <t>₦138,183.11</t>
  </si>
  <si>
    <t>T1151</t>
  </si>
  <si>
    <t>20/03/2026</t>
  </si>
  <si>
    <t xml:space="preserve"> ₦161,340.24 </t>
  </si>
  <si>
    <t>₦69,364.66</t>
  </si>
  <si>
    <t>T1152</t>
  </si>
  <si>
    <t>14/03/2026</t>
  </si>
  <si>
    <t xml:space="preserve"> ₦449,815.68 </t>
  </si>
  <si>
    <t>₦355,688.01</t>
  </si>
  <si>
    <t>T1153</t>
  </si>
  <si>
    <t>30/05/2026</t>
  </si>
  <si>
    <t xml:space="preserve"> ₦208,184.86 </t>
  </si>
  <si>
    <t>₦171,943.76</t>
  </si>
  <si>
    <t>T1154</t>
  </si>
  <si>
    <t>02/03/2026</t>
  </si>
  <si>
    <t xml:space="preserve"> ₦468,339.95 </t>
  </si>
  <si>
    <t>₦316,744.90</t>
  </si>
  <si>
    <t>T1155</t>
  </si>
  <si>
    <t xml:space="preserve"> ₦346,193.07 </t>
  </si>
  <si>
    <t>₦232,206.44</t>
  </si>
  <si>
    <t>T1156</t>
  </si>
  <si>
    <t>09/06/2026</t>
  </si>
  <si>
    <t xml:space="preserve"> ₦165,680.95 </t>
  </si>
  <si>
    <t>₦149,053.43</t>
  </si>
  <si>
    <t>T1157</t>
  </si>
  <si>
    <t>2026-04-18</t>
  </si>
  <si>
    <t xml:space="preserve"> ₦348,944.87 </t>
  </si>
  <si>
    <t>₦278,382.03</t>
  </si>
  <si>
    <t>T1158</t>
  </si>
  <si>
    <t>21/06/2026</t>
  </si>
  <si>
    <t xml:space="preserve"> ₦301,641.43 </t>
  </si>
  <si>
    <t>₦267,477.21</t>
  </si>
  <si>
    <t>T1159</t>
  </si>
  <si>
    <t>2026-04-04</t>
  </si>
  <si>
    <t xml:space="preserve"> ₦85,289.50 </t>
  </si>
  <si>
    <t>₦64,625.47</t>
  </si>
  <si>
    <t>T1160</t>
  </si>
  <si>
    <t xml:space="preserve"> ₦80,247.98 </t>
  </si>
  <si>
    <t>₦60,024.30</t>
  </si>
  <si>
    <t>T1161</t>
  </si>
  <si>
    <t>19/02/2026</t>
  </si>
  <si>
    <t xml:space="preserve"> ₦370,653.04 </t>
  </si>
  <si>
    <t>₦304,978.49</t>
  </si>
  <si>
    <t>T1162</t>
  </si>
  <si>
    <t>03/03/2026</t>
  </si>
  <si>
    <t xml:space="preserve"> ₦369,376.53 </t>
  </si>
  <si>
    <t>₦270,436.75</t>
  </si>
  <si>
    <t>T1163</t>
  </si>
  <si>
    <t>21/02/2026</t>
  </si>
  <si>
    <t xml:space="preserve"> ₦351,245.17 </t>
  </si>
  <si>
    <t>₦261,198.85</t>
  </si>
  <si>
    <t>T1164</t>
  </si>
  <si>
    <t>04/05/2026</t>
  </si>
  <si>
    <t xml:space="preserve"> ₦486,884.54 </t>
  </si>
  <si>
    <t>₦358,235.70</t>
  </si>
  <si>
    <t>T1165</t>
  </si>
  <si>
    <t xml:space="preserve"> ₦63,410.45 </t>
  </si>
  <si>
    <t>₦37,233.73</t>
  </si>
  <si>
    <t>T1166</t>
  </si>
  <si>
    <t xml:space="preserve"> ₦166,999.60 </t>
  </si>
  <si>
    <t>₦134,841.04</t>
  </si>
  <si>
    <t>T1167</t>
  </si>
  <si>
    <t xml:space="preserve"> ₦361,659.40 </t>
  </si>
  <si>
    <t>₦294,740.69</t>
  </si>
  <si>
    <t>T1168</t>
  </si>
  <si>
    <t>2026-03-27</t>
  </si>
  <si>
    <t xml:space="preserve"> ₦176,266.80 </t>
  </si>
  <si>
    <t>₦93,464.72</t>
  </si>
  <si>
    <t>T1169</t>
  </si>
  <si>
    <t>2026-03-10</t>
  </si>
  <si>
    <t xml:space="preserve"> ₦60,027.98 </t>
  </si>
  <si>
    <t>₦27,411.29</t>
  </si>
  <si>
    <t>T1170</t>
  </si>
  <si>
    <t xml:space="preserve"> ₦103,872.89 </t>
  </si>
  <si>
    <t>₦88,633.07</t>
  </si>
  <si>
    <t>T1171</t>
  </si>
  <si>
    <t xml:space="preserve"> ₦402,668.08 </t>
  </si>
  <si>
    <t>₦276,876.23</t>
  </si>
  <si>
    <t>T1172</t>
  </si>
  <si>
    <t>10/04/2026</t>
  </si>
  <si>
    <t xml:space="preserve"> ₦227,050.89 </t>
  </si>
  <si>
    <t>₦100,231.26</t>
  </si>
  <si>
    <t>T1173</t>
  </si>
  <si>
    <t>18/06/2026</t>
  </si>
  <si>
    <t xml:space="preserve"> ₦342,032.30 </t>
  </si>
  <si>
    <t>₦227,141.54</t>
  </si>
  <si>
    <t>T1174</t>
  </si>
  <si>
    <t>15/04/2026</t>
  </si>
  <si>
    <t xml:space="preserve"> ₦190,183.00 </t>
  </si>
  <si>
    <t>₦116,048.24</t>
  </si>
  <si>
    <t>T1175</t>
  </si>
  <si>
    <t>26/06/2026</t>
  </si>
  <si>
    <t xml:space="preserve"> ₦446,588.03 </t>
  </si>
  <si>
    <t>₦323,582.37</t>
  </si>
  <si>
    <t>T1176</t>
  </si>
  <si>
    <t xml:space="preserve"> ₦418,215.45 </t>
  </si>
  <si>
    <t>₦342,587.46</t>
  </si>
  <si>
    <t>T1177</t>
  </si>
  <si>
    <t xml:space="preserve"> ₦411,169.28 </t>
  </si>
  <si>
    <t>₦339,037.69</t>
  </si>
  <si>
    <t>T1178</t>
  </si>
  <si>
    <t xml:space="preserve"> ₦265,239.81 </t>
  </si>
  <si>
    <t>₦143,495.74</t>
  </si>
  <si>
    <t>T1179</t>
  </si>
  <si>
    <t xml:space="preserve"> ₦53,366.13 </t>
  </si>
  <si>
    <t>₦27,572.82</t>
  </si>
  <si>
    <t>T1180</t>
  </si>
  <si>
    <t xml:space="preserve"> ₦450,400.71 </t>
  </si>
  <si>
    <t>₦283,522.92</t>
  </si>
  <si>
    <t>T1181</t>
  </si>
  <si>
    <t>2026-03-07</t>
  </si>
  <si>
    <t xml:space="preserve"> ₦260,829.21 </t>
  </si>
  <si>
    <t>₦175,854.36</t>
  </si>
  <si>
    <t>T1182</t>
  </si>
  <si>
    <t>2026-06-28</t>
  </si>
  <si>
    <t xml:space="preserve"> ₦477,327.94 </t>
  </si>
  <si>
    <t>₦342,837.04</t>
  </si>
  <si>
    <t>T1183</t>
  </si>
  <si>
    <t xml:space="preserve"> ₦298,722.88 </t>
  </si>
  <si>
    <t>₦138,491.85</t>
  </si>
  <si>
    <t>T1184</t>
  </si>
  <si>
    <t>17/04/2026</t>
  </si>
  <si>
    <t xml:space="preserve"> ₦282,369.34 </t>
  </si>
  <si>
    <t>₦234,063.84</t>
  </si>
  <si>
    <t>T1185</t>
  </si>
  <si>
    <t xml:space="preserve"> ₦98,280.85 </t>
  </si>
  <si>
    <t>₦68,132.16</t>
  </si>
  <si>
    <t>T1186</t>
  </si>
  <si>
    <t>2026-05-23</t>
  </si>
  <si>
    <t xml:space="preserve"> ₦273,679.13 </t>
  </si>
  <si>
    <t>₦111,993.85</t>
  </si>
  <si>
    <t>T1187</t>
  </si>
  <si>
    <t>2026-02-09</t>
  </si>
  <si>
    <t xml:space="preserve"> ₦392,396.42 </t>
  </si>
  <si>
    <t>₦289,757.21</t>
  </si>
  <si>
    <t>T1188</t>
  </si>
  <si>
    <t>2026-05-06</t>
  </si>
  <si>
    <t xml:space="preserve"> ₦295,110.03 </t>
  </si>
  <si>
    <t>₦200,967.35</t>
  </si>
  <si>
    <t>T1189</t>
  </si>
  <si>
    <t>2026-01-16</t>
  </si>
  <si>
    <t xml:space="preserve"> ₦346,767.59 </t>
  </si>
  <si>
    <t>₦204,654.39</t>
  </si>
  <si>
    <t>T1190</t>
  </si>
  <si>
    <t>24/04/2026</t>
  </si>
  <si>
    <t xml:space="preserve"> ₦128,868.48 </t>
  </si>
  <si>
    <t>₦84,501.72</t>
  </si>
  <si>
    <t>T1191</t>
  </si>
  <si>
    <t>2026-01-20</t>
  </si>
  <si>
    <t xml:space="preserve"> ₦111,782.03 </t>
  </si>
  <si>
    <t>₦83,694.35</t>
  </si>
  <si>
    <t>T1192</t>
  </si>
  <si>
    <t>2026-01-28</t>
  </si>
  <si>
    <t xml:space="preserve"> ₦395,981.19 </t>
  </si>
  <si>
    <t>₦227,408.52</t>
  </si>
  <si>
    <t>T1193</t>
  </si>
  <si>
    <t>2026-02-01</t>
  </si>
  <si>
    <t xml:space="preserve"> ₦287,572.07 </t>
  </si>
  <si>
    <t>₦187,963.70</t>
  </si>
  <si>
    <t>T1194</t>
  </si>
  <si>
    <t xml:space="preserve"> ₦214,314.38 </t>
  </si>
  <si>
    <t>₦170,869.29</t>
  </si>
  <si>
    <t>T1195</t>
  </si>
  <si>
    <t>2026-02-10</t>
  </si>
  <si>
    <t xml:space="preserve"> ₦255,227.84 </t>
  </si>
  <si>
    <t>₦164,625.74</t>
  </si>
  <si>
    <t>T1196</t>
  </si>
  <si>
    <t>28/06/2026</t>
  </si>
  <si>
    <t xml:space="preserve"> ₦451,461.34 </t>
  </si>
  <si>
    <t>₦279,974.29</t>
  </si>
  <si>
    <t>T1197</t>
  </si>
  <si>
    <t>01/04/2026</t>
  </si>
  <si>
    <t xml:space="preserve"> ₦414,325.37 </t>
  </si>
  <si>
    <t>₦305,174.51</t>
  </si>
  <si>
    <t>T1198</t>
  </si>
  <si>
    <t>2026-04-12</t>
  </si>
  <si>
    <t xml:space="preserve"> ₦477,772.39 </t>
  </si>
  <si>
    <t>₦252,617.42</t>
  </si>
  <si>
    <t>T1199</t>
  </si>
  <si>
    <t xml:space="preserve"> ₦332,226.04 </t>
  </si>
  <si>
    <t>₦235,178.93</t>
  </si>
  <si>
    <t>T1200</t>
  </si>
  <si>
    <t>24/01/2026</t>
  </si>
  <si>
    <t xml:space="preserve"> ₦129,916.97 </t>
  </si>
  <si>
    <t>₦54,224.76</t>
  </si>
  <si>
    <t>T1201</t>
  </si>
  <si>
    <t>26/05/2026</t>
  </si>
  <si>
    <t xml:space="preserve"> ₦131,295.17 </t>
  </si>
  <si>
    <t>₦54,790.91</t>
  </si>
  <si>
    <t>T1202</t>
  </si>
  <si>
    <t>2026-04-08</t>
  </si>
  <si>
    <t xml:space="preserve"> ₦153,136.53 </t>
  </si>
  <si>
    <t>₦83,308.48</t>
  </si>
  <si>
    <t>T1203</t>
  </si>
  <si>
    <t>29/06/2026</t>
  </si>
  <si>
    <t xml:space="preserve"> ₦416,535.42 </t>
  </si>
  <si>
    <t>₦167,103.72</t>
  </si>
  <si>
    <t>T1204</t>
  </si>
  <si>
    <t>07/06/2026</t>
  </si>
  <si>
    <t xml:space="preserve"> ₦463,512.82 </t>
  </si>
  <si>
    <t>₦343,003.28</t>
  </si>
  <si>
    <t>T1205</t>
  </si>
  <si>
    <t>05/01/2026</t>
  </si>
  <si>
    <t xml:space="preserve"> ₦413,927.96 </t>
  </si>
  <si>
    <t>₦249,948.51</t>
  </si>
  <si>
    <t>T1206</t>
  </si>
  <si>
    <t xml:space="preserve"> ₦266,121.26 </t>
  </si>
  <si>
    <t>₦199,737.11</t>
  </si>
  <si>
    <t>T1207</t>
  </si>
  <si>
    <t xml:space="preserve"> ₦125,727.98 </t>
  </si>
  <si>
    <t>₦59,125.61</t>
  </si>
  <si>
    <t>T1208</t>
  </si>
  <si>
    <t>17/01/2026</t>
  </si>
  <si>
    <t xml:space="preserve"> ₦493,830.84 </t>
  </si>
  <si>
    <t>₦291,368.74</t>
  </si>
  <si>
    <t>T1209</t>
  </si>
  <si>
    <t xml:space="preserve"> ₦311,761.16 </t>
  </si>
  <si>
    <t>₦201,229.11</t>
  </si>
  <si>
    <t>T1210</t>
  </si>
  <si>
    <t xml:space="preserve"> ₦377,361.62 </t>
  </si>
  <si>
    <t>₦299,172.49</t>
  </si>
  <si>
    <t>T1211</t>
  </si>
  <si>
    <t>2026-06-25</t>
  </si>
  <si>
    <t xml:space="preserve"> ₦417,698.54 </t>
  </si>
  <si>
    <t>₦262,445.88</t>
  </si>
  <si>
    <t>T1212</t>
  </si>
  <si>
    <t>28/02/2026</t>
  </si>
  <si>
    <t xml:space="preserve"> ₦57,628.18 </t>
  </si>
  <si>
    <t>₦33,928.12</t>
  </si>
  <si>
    <t>T1213</t>
  </si>
  <si>
    <t>10/06/2026</t>
  </si>
  <si>
    <t xml:space="preserve"> ₦57,997.53 </t>
  </si>
  <si>
    <t>₦23,368.45</t>
  </si>
  <si>
    <t>T1214</t>
  </si>
  <si>
    <t>25/05/2026</t>
  </si>
  <si>
    <t xml:space="preserve"> ₦441,230.23 </t>
  </si>
  <si>
    <t>₦325,972.89</t>
  </si>
  <si>
    <t>T1215</t>
  </si>
  <si>
    <t>2026-03-26</t>
  </si>
  <si>
    <t xml:space="preserve"> ₦124,722.00 </t>
  </si>
  <si>
    <t>₦96,895.23</t>
  </si>
  <si>
    <t>T1216</t>
  </si>
  <si>
    <t>2026-06-15</t>
  </si>
  <si>
    <t xml:space="preserve"> ₦472,735.10 </t>
  </si>
  <si>
    <t>₦211,745.16</t>
  </si>
  <si>
    <t>T1217</t>
  </si>
  <si>
    <t xml:space="preserve"> ₦107,310.35 </t>
  </si>
  <si>
    <t>₦88,254.04</t>
  </si>
  <si>
    <t>T1218</t>
  </si>
  <si>
    <t xml:space="preserve"> ₦145,568.67 </t>
  </si>
  <si>
    <t>₦66,446.74</t>
  </si>
  <si>
    <t>T1219</t>
  </si>
  <si>
    <t>2026-06-26</t>
  </si>
  <si>
    <t xml:space="preserve"> ₦198,266.43 </t>
  </si>
  <si>
    <t>₦131,057.38</t>
  </si>
  <si>
    <t>T1220</t>
  </si>
  <si>
    <t>2026-02-26</t>
  </si>
  <si>
    <t xml:space="preserve"> ₦334,984.54 </t>
  </si>
  <si>
    <t>₦199,209.94</t>
  </si>
  <si>
    <t>T1221</t>
  </si>
  <si>
    <t xml:space="preserve"> ₦215,245.70 </t>
  </si>
  <si>
    <t>₦88,851.37</t>
  </si>
  <si>
    <t>T1222</t>
  </si>
  <si>
    <t xml:space="preserve"> ₦492,517.41 </t>
  </si>
  <si>
    <t>₦367,255.13</t>
  </si>
  <si>
    <t>T1223</t>
  </si>
  <si>
    <t xml:space="preserve"> ₦419,941.83 </t>
  </si>
  <si>
    <t>₦286,478.56</t>
  </si>
  <si>
    <t>T1224</t>
  </si>
  <si>
    <t xml:space="preserve"> ₦59,612.62 </t>
  </si>
  <si>
    <t>₦42,088.88</t>
  </si>
  <si>
    <t>T1225</t>
  </si>
  <si>
    <t>2026-03-04</t>
  </si>
  <si>
    <t xml:space="preserve"> ₦389,944.97 </t>
  </si>
  <si>
    <t>₦310,429.22</t>
  </si>
  <si>
    <t>T1226</t>
  </si>
  <si>
    <t>2026-01-15</t>
  </si>
  <si>
    <t xml:space="preserve"> ₦329,296.08 </t>
  </si>
  <si>
    <t>₦138,328.24</t>
  </si>
  <si>
    <t>T1227</t>
  </si>
  <si>
    <t xml:space="preserve"> ₦288,499.15 </t>
  </si>
  <si>
    <t>₦157,479.71</t>
  </si>
  <si>
    <t>T1228</t>
  </si>
  <si>
    <t>23/02/2026</t>
  </si>
  <si>
    <t xml:space="preserve"> ₦384,059.43 </t>
  </si>
  <si>
    <t>₦159,166.05</t>
  </si>
  <si>
    <t>T1229</t>
  </si>
  <si>
    <t xml:space="preserve"> ₦467,948.23 </t>
  </si>
  <si>
    <t>₦299,318.28</t>
  </si>
  <si>
    <t>T1230</t>
  </si>
  <si>
    <t xml:space="preserve"> ₦323,217.43 </t>
  </si>
  <si>
    <t>₦233,771.35</t>
  </si>
  <si>
    <t>T1231</t>
  </si>
  <si>
    <t>11/02/2026</t>
  </si>
  <si>
    <t xml:space="preserve"> ₦144,506.33 </t>
  </si>
  <si>
    <t>₦130,445.53</t>
  </si>
  <si>
    <t>T1232</t>
  </si>
  <si>
    <t xml:space="preserve"> ₦341,512.57 </t>
  </si>
  <si>
    <t>₦203,421.27</t>
  </si>
  <si>
    <t>T1233</t>
  </si>
  <si>
    <t>24/06/2026</t>
  </si>
  <si>
    <t xml:space="preserve"> ₦79,475.63 </t>
  </si>
  <si>
    <t>₦37,896.75</t>
  </si>
  <si>
    <t>T1234</t>
  </si>
  <si>
    <t>03/06/2026</t>
  </si>
  <si>
    <t xml:space="preserve"> ₦197,177.87 </t>
  </si>
  <si>
    <t>₦173,007.11</t>
  </si>
  <si>
    <t>T1235</t>
  </si>
  <si>
    <t>19/05/2026</t>
  </si>
  <si>
    <t xml:space="preserve"> ₦55,828.69 </t>
  </si>
  <si>
    <t>₦40,586.64</t>
  </si>
  <si>
    <t>T1236</t>
  </si>
  <si>
    <t>2026-04-03</t>
  </si>
  <si>
    <t xml:space="preserve"> ₦322,946.90 </t>
  </si>
  <si>
    <t>₦165,425.82</t>
  </si>
  <si>
    <t>T1237</t>
  </si>
  <si>
    <t xml:space="preserve"> ₦109,086.33 </t>
  </si>
  <si>
    <t>₦96,596.02</t>
  </si>
  <si>
    <t>T1238</t>
  </si>
  <si>
    <t xml:space="preserve"> ₦78,267.98 </t>
  </si>
  <si>
    <t>₦38,161.88</t>
  </si>
  <si>
    <t>T1239</t>
  </si>
  <si>
    <t xml:space="preserve"> ₦246,578.76 </t>
  </si>
  <si>
    <t>₦138,955.25</t>
  </si>
  <si>
    <t>T1240</t>
  </si>
  <si>
    <t>19/04/2026</t>
  </si>
  <si>
    <t xml:space="preserve"> ₦353,180.91 </t>
  </si>
  <si>
    <t>₦179,454.38</t>
  </si>
  <si>
    <t>T1241</t>
  </si>
  <si>
    <t xml:space="preserve"> ₦479,309.43 </t>
  </si>
  <si>
    <t>₦429,805.75</t>
  </si>
  <si>
    <t>T1242</t>
  </si>
  <si>
    <t xml:space="preserve"> ₦253,176.53 </t>
  </si>
  <si>
    <t>₦117,603.19</t>
  </si>
  <si>
    <t>T1243</t>
  </si>
  <si>
    <t>2026-01-14</t>
  </si>
  <si>
    <t xml:space="preserve"> ₦230,292.45 </t>
  </si>
  <si>
    <t>₦210,694.04</t>
  </si>
  <si>
    <t>T1244</t>
  </si>
  <si>
    <t>2026-02-22</t>
  </si>
  <si>
    <t xml:space="preserve"> ₦456,624.80 </t>
  </si>
  <si>
    <t>₦361,076.33</t>
  </si>
  <si>
    <t>T1245</t>
  </si>
  <si>
    <t xml:space="preserve"> ₦326,756.42 </t>
  </si>
  <si>
    <t>₦217,255.57</t>
  </si>
  <si>
    <t>T1246</t>
  </si>
  <si>
    <t xml:space="preserve"> ₦236,185.38 </t>
  </si>
  <si>
    <t>₦172,118.10</t>
  </si>
  <si>
    <t>T1247</t>
  </si>
  <si>
    <t xml:space="preserve"> ₦298,526.21 </t>
  </si>
  <si>
    <t>₦262,475.55</t>
  </si>
  <si>
    <t>T1248</t>
  </si>
  <si>
    <t xml:space="preserve"> ₦409,381.83 </t>
  </si>
  <si>
    <t>₦166,032.84</t>
  </si>
  <si>
    <t>T1249</t>
  </si>
  <si>
    <t xml:space="preserve"> ₦215,384.53 </t>
  </si>
  <si>
    <t>₦91,159.62</t>
  </si>
  <si>
    <t>T1250</t>
  </si>
  <si>
    <t>22/03/2026</t>
  </si>
  <si>
    <t xml:space="preserve"> ₦370,689.76 </t>
  </si>
  <si>
    <t>₦242,682.92</t>
  </si>
  <si>
    <t>T1251</t>
  </si>
  <si>
    <t xml:space="preserve"> ₦230,786.41 </t>
  </si>
  <si>
    <t>₦94,375.12</t>
  </si>
  <si>
    <t>T1252</t>
  </si>
  <si>
    <t>02/02/2026</t>
  </si>
  <si>
    <t xml:space="preserve"> ₦345,496.15 </t>
  </si>
  <si>
    <t>₦158,491.75</t>
  </si>
  <si>
    <t>T1253</t>
  </si>
  <si>
    <t>31/01/2026</t>
  </si>
  <si>
    <t xml:space="preserve"> ₦266,046.41 </t>
  </si>
  <si>
    <t>₦216,575.22</t>
  </si>
  <si>
    <t>T1254</t>
  </si>
  <si>
    <t>2026-06-05</t>
  </si>
  <si>
    <t xml:space="preserve"> ₦494,127.80 </t>
  </si>
  <si>
    <t>₦281,708.42</t>
  </si>
  <si>
    <t>T1255</t>
  </si>
  <si>
    <t xml:space="preserve"> ₦467,325.31 </t>
  </si>
  <si>
    <t>₦244,098.87</t>
  </si>
  <si>
    <t>T1256</t>
  </si>
  <si>
    <t xml:space="preserve"> ₦306,325.37 </t>
  </si>
  <si>
    <t>₦180,928.59</t>
  </si>
  <si>
    <t>T1257</t>
  </si>
  <si>
    <t>03/05/2026</t>
  </si>
  <si>
    <t xml:space="preserve"> ₦400,588.29 </t>
  </si>
  <si>
    <t>₦365,199.62</t>
  </si>
  <si>
    <t>T1258</t>
  </si>
  <si>
    <t xml:space="preserve"> ₦401,133.79 </t>
  </si>
  <si>
    <t>₦212,656.28</t>
  </si>
  <si>
    <t>T1259</t>
  </si>
  <si>
    <t xml:space="preserve"> ₦142,803.21 </t>
  </si>
  <si>
    <t>₦113,465.52</t>
  </si>
  <si>
    <t>T1260</t>
  </si>
  <si>
    <t xml:space="preserve"> ₦356,760.16 </t>
  </si>
  <si>
    <t>₦246,526.32</t>
  </si>
  <si>
    <t>T1261</t>
  </si>
  <si>
    <t>2026-05-29</t>
  </si>
  <si>
    <t xml:space="preserve"> ₦446,425.89 </t>
  </si>
  <si>
    <t>₦298,197.40</t>
  </si>
  <si>
    <t>T1262</t>
  </si>
  <si>
    <t>2026-01-21</t>
  </si>
  <si>
    <t xml:space="preserve"> ₦360,944.12 </t>
  </si>
  <si>
    <t>₦324,227.40</t>
  </si>
  <si>
    <t>T1263</t>
  </si>
  <si>
    <t>01/01/2026</t>
  </si>
  <si>
    <t xml:space="preserve"> ₦155,348.57 </t>
  </si>
  <si>
    <t>₦75,189.81</t>
  </si>
  <si>
    <t>T1264</t>
  </si>
  <si>
    <t xml:space="preserve"> ₦460,913.63 </t>
  </si>
  <si>
    <t>₦407,640.41</t>
  </si>
  <si>
    <t>T1265</t>
  </si>
  <si>
    <t xml:space="preserve"> ₦145,693.01 </t>
  </si>
  <si>
    <t>₦96,927.43</t>
  </si>
  <si>
    <t>T1266</t>
  </si>
  <si>
    <t>23/04/2026</t>
  </si>
  <si>
    <t xml:space="preserve"> ₦76,523.39 </t>
  </si>
  <si>
    <t>₦66,121.90</t>
  </si>
  <si>
    <t>T1267</t>
  </si>
  <si>
    <t xml:space="preserve"> ₦341,283.72 </t>
  </si>
  <si>
    <t>₦179,907.23</t>
  </si>
  <si>
    <t>T1268</t>
  </si>
  <si>
    <t xml:space="preserve"> ₦268,338.62 </t>
  </si>
  <si>
    <t>₦124,752.58</t>
  </si>
  <si>
    <t>T1269</t>
  </si>
  <si>
    <t>2026-06-02</t>
  </si>
  <si>
    <t xml:space="preserve"> ₦261,166.05 </t>
  </si>
  <si>
    <t>₦142,289.04</t>
  </si>
  <si>
    <t>T1270</t>
  </si>
  <si>
    <t xml:space="preserve"> ₦218,807.42 </t>
  </si>
  <si>
    <t>₦93,271.69</t>
  </si>
  <si>
    <t>T1271</t>
  </si>
  <si>
    <t xml:space="preserve"> ₦211,504.16 </t>
  </si>
  <si>
    <t>₦147,067.25</t>
  </si>
  <si>
    <t>T1272</t>
  </si>
  <si>
    <t xml:space="preserve"> ₦85,898.80 </t>
  </si>
  <si>
    <t>₦79,876.65</t>
  </si>
  <si>
    <t>T1273</t>
  </si>
  <si>
    <t xml:space="preserve"> ₦162,245.98 </t>
  </si>
  <si>
    <t>₦116,495.81</t>
  </si>
  <si>
    <t>T1274</t>
  </si>
  <si>
    <t>2026-05-13</t>
  </si>
  <si>
    <t xml:space="preserve"> ₦281,051.36 </t>
  </si>
  <si>
    <t>₦173,039.54</t>
  </si>
  <si>
    <t>T1275</t>
  </si>
  <si>
    <t xml:space="preserve"> ₦327,677.41 </t>
  </si>
  <si>
    <t>₦286,424.16</t>
  </si>
  <si>
    <t>T1276</t>
  </si>
  <si>
    <t>07/02/2026</t>
  </si>
  <si>
    <t xml:space="preserve"> ₦123,869.28 </t>
  </si>
  <si>
    <t>₦81,414.38</t>
  </si>
  <si>
    <t>T1277</t>
  </si>
  <si>
    <t xml:space="preserve"> ₦164,867.26 </t>
  </si>
  <si>
    <t>₦121,517.13</t>
  </si>
  <si>
    <t>T1278</t>
  </si>
  <si>
    <t xml:space="preserve"> ₦327,426.78 </t>
  </si>
  <si>
    <t>₦200,789.19</t>
  </si>
  <si>
    <t>T1279</t>
  </si>
  <si>
    <t>13/05/2026</t>
  </si>
  <si>
    <t xml:space="preserve"> ₦205,220.82 </t>
  </si>
  <si>
    <t>₦180,064.05</t>
  </si>
  <si>
    <t>T1280</t>
  </si>
  <si>
    <t xml:space="preserve"> ₦480,857.60 </t>
  </si>
  <si>
    <t>₦372,757.51</t>
  </si>
  <si>
    <t>T1281</t>
  </si>
  <si>
    <t>22/04/2026</t>
  </si>
  <si>
    <t xml:space="preserve"> ₦148,697.11 </t>
  </si>
  <si>
    <t>₦102,641.82</t>
  </si>
  <si>
    <t>T1282</t>
  </si>
  <si>
    <t xml:space="preserve"> ₦435,832.82 </t>
  </si>
  <si>
    <t>₦290,973.87</t>
  </si>
  <si>
    <t>T1283</t>
  </si>
  <si>
    <t xml:space="preserve"> ₦493,719.28 </t>
  </si>
  <si>
    <t>₦214,667.10</t>
  </si>
  <si>
    <t>T1284</t>
  </si>
  <si>
    <t xml:space="preserve"> ₦278,013.88 </t>
  </si>
  <si>
    <t>₦121,003.49</t>
  </si>
  <si>
    <t>T1285</t>
  </si>
  <si>
    <t>2026-02-23</t>
  </si>
  <si>
    <t xml:space="preserve"> ₦205,119.50 </t>
  </si>
  <si>
    <t>₦108,043.88</t>
  </si>
  <si>
    <t>T1286</t>
  </si>
  <si>
    <t xml:space="preserve"> ₦176,646.70 </t>
  </si>
  <si>
    <t>₦145,225.31</t>
  </si>
  <si>
    <t>T1287</t>
  </si>
  <si>
    <t>2026-01-31</t>
  </si>
  <si>
    <t xml:space="preserve"> ₦79,765.49 </t>
  </si>
  <si>
    <t>₦43,705.90</t>
  </si>
  <si>
    <t>T1288</t>
  </si>
  <si>
    <t>2026-01-06</t>
  </si>
  <si>
    <t xml:space="preserve"> ₦459,951.58 </t>
  </si>
  <si>
    <t>₦426,449.35</t>
  </si>
  <si>
    <t>T1289</t>
  </si>
  <si>
    <t xml:space="preserve"> ₦357,097.43 </t>
  </si>
  <si>
    <t>₦298,940.25</t>
  </si>
  <si>
    <t>T1290</t>
  </si>
  <si>
    <t>2026-05-30</t>
  </si>
  <si>
    <t xml:space="preserve"> ₦490,761.33 </t>
  </si>
  <si>
    <t>₦397,486.62</t>
  </si>
  <si>
    <t>T1291</t>
  </si>
  <si>
    <t xml:space="preserve"> ₦266,082.97 </t>
  </si>
  <si>
    <t>₦140,159.88</t>
  </si>
  <si>
    <t>T1292</t>
  </si>
  <si>
    <t xml:space="preserve"> ₦302,171.22 </t>
  </si>
  <si>
    <t>₦179,698.89</t>
  </si>
  <si>
    <t>T1293</t>
  </si>
  <si>
    <t xml:space="preserve"> ₦377,192.37 </t>
  </si>
  <si>
    <t>₦167,981.83</t>
  </si>
  <si>
    <t>T1294</t>
  </si>
  <si>
    <t xml:space="preserve"> ₦240,436.88 </t>
  </si>
  <si>
    <t>₦156,836.78</t>
  </si>
  <si>
    <t>T1295</t>
  </si>
  <si>
    <t>2026-02-04</t>
  </si>
  <si>
    <t xml:space="preserve"> ₦291,665.02 </t>
  </si>
  <si>
    <t>₦193,520.71</t>
  </si>
  <si>
    <t>T1296</t>
  </si>
  <si>
    <t>27/05/2026</t>
  </si>
  <si>
    <t xml:space="preserve"> ₦193,926.58 </t>
  </si>
  <si>
    <t>₦101,748.18</t>
  </si>
  <si>
    <t>T1297</t>
  </si>
  <si>
    <t>10/02/2026</t>
  </si>
  <si>
    <t xml:space="preserve"> ₦416,793.05 </t>
  </si>
  <si>
    <t>₦314,244.92</t>
  </si>
  <si>
    <t>T1298</t>
  </si>
  <si>
    <t xml:space="preserve"> ₦263,250.60 </t>
  </si>
  <si>
    <t>₦188,367.98</t>
  </si>
  <si>
    <t>T1299</t>
  </si>
  <si>
    <t>27/06/2026</t>
  </si>
  <si>
    <t xml:space="preserve"> ₦489,878.84 </t>
  </si>
  <si>
    <t>₦202,466.89</t>
  </si>
  <si>
    <t>T1300</t>
  </si>
  <si>
    <t>23/05/2026</t>
  </si>
  <si>
    <t xml:space="preserve"> ₦229,725.17 </t>
  </si>
  <si>
    <t>₦118,460.73</t>
  </si>
  <si>
    <t>T1301</t>
  </si>
  <si>
    <t xml:space="preserve"> ₦487,026.25 </t>
  </si>
  <si>
    <t>₦197,471.47</t>
  </si>
  <si>
    <t>T1302</t>
  </si>
  <si>
    <t>29/01/2026</t>
  </si>
  <si>
    <t xml:space="preserve"> ₦208,136.41 </t>
  </si>
  <si>
    <t>₦190,223.06</t>
  </si>
  <si>
    <t>T1303</t>
  </si>
  <si>
    <t>2026-01-09</t>
  </si>
  <si>
    <t xml:space="preserve"> ₦268,600.23 </t>
  </si>
  <si>
    <t>₦198,954.86</t>
  </si>
  <si>
    <t>T1304</t>
  </si>
  <si>
    <t>2026-05-14</t>
  </si>
  <si>
    <t xml:space="preserve"> ₦223,192.27 </t>
  </si>
  <si>
    <t>₦179,683.91</t>
  </si>
  <si>
    <t>T1305</t>
  </si>
  <si>
    <t xml:space="preserve"> ₦186,280.16 </t>
  </si>
  <si>
    <t>₦134,770.74</t>
  </si>
  <si>
    <t>T1306</t>
  </si>
  <si>
    <t xml:space="preserve"> ₦264,211.97 </t>
  </si>
  <si>
    <t>₦230,551.13</t>
  </si>
  <si>
    <t>T1307</t>
  </si>
  <si>
    <t>21/04/2026</t>
  </si>
  <si>
    <t xml:space="preserve"> ₦497,740.26 </t>
  </si>
  <si>
    <t>₦408,874.83</t>
  </si>
  <si>
    <t>T1308</t>
  </si>
  <si>
    <t>2026-06-07</t>
  </si>
  <si>
    <t xml:space="preserve"> ₦110,111.71 </t>
  </si>
  <si>
    <t>₦95,212.30</t>
  </si>
  <si>
    <t>T1309</t>
  </si>
  <si>
    <t xml:space="preserve"> ₦171,173.98 </t>
  </si>
  <si>
    <t>₦102,899.97</t>
  </si>
  <si>
    <t>T1310</t>
  </si>
  <si>
    <t xml:space="preserve"> ₦114,313.34 </t>
  </si>
  <si>
    <t>₦95,935.14</t>
  </si>
  <si>
    <t>T1311</t>
  </si>
  <si>
    <t xml:space="preserve"> ₦486,260.15 </t>
  </si>
  <si>
    <t>₦286,582.51</t>
  </si>
  <si>
    <t>T1312</t>
  </si>
  <si>
    <t xml:space="preserve"> ₦327,114.63 </t>
  </si>
  <si>
    <t>₦226,205.32</t>
  </si>
  <si>
    <t>T1313</t>
  </si>
  <si>
    <t xml:space="preserve"> ₦481,745.69 </t>
  </si>
  <si>
    <t>₦334,000.30</t>
  </si>
  <si>
    <t>T1314</t>
  </si>
  <si>
    <t xml:space="preserve"> ₦395,634.82 </t>
  </si>
  <si>
    <t>₦158,331.73</t>
  </si>
  <si>
    <t>T1315</t>
  </si>
  <si>
    <t>18/02/2026</t>
  </si>
  <si>
    <t xml:space="preserve"> ₦437,342.61 </t>
  </si>
  <si>
    <t>₦191,317.53</t>
  </si>
  <si>
    <t>T1316</t>
  </si>
  <si>
    <t xml:space="preserve"> ₦371,344.56 </t>
  </si>
  <si>
    <t>₦192,236.09</t>
  </si>
  <si>
    <t>T1317</t>
  </si>
  <si>
    <t>2026-01-04</t>
  </si>
  <si>
    <t xml:space="preserve"> ₦438,264.97 </t>
  </si>
  <si>
    <t>₦202,428.04</t>
  </si>
  <si>
    <t>T1318</t>
  </si>
  <si>
    <t>17/06/2026</t>
  </si>
  <si>
    <t xml:space="preserve"> ₦80,350.66 </t>
  </si>
  <si>
    <t>₦43,106.75</t>
  </si>
  <si>
    <t>T1319</t>
  </si>
  <si>
    <t xml:space="preserve"> ₦326,956.91 </t>
  </si>
  <si>
    <t>₦183,105.49</t>
  </si>
  <si>
    <t>T1320</t>
  </si>
  <si>
    <t xml:space="preserve"> ₦359,121.84 </t>
  </si>
  <si>
    <t>₦194,289.36</t>
  </si>
  <si>
    <t>T1321</t>
  </si>
  <si>
    <t xml:space="preserve"> ₦356,823.23 </t>
  </si>
  <si>
    <t>₦177,540.50</t>
  </si>
  <si>
    <t>T1322</t>
  </si>
  <si>
    <t xml:space="preserve"> ₦356,032.07 </t>
  </si>
  <si>
    <t>₦285,573.64</t>
  </si>
  <si>
    <t>T1323</t>
  </si>
  <si>
    <t xml:space="preserve"> ₦495,155.13 </t>
  </si>
  <si>
    <t>₦387,660.61</t>
  </si>
  <si>
    <t>T1324</t>
  </si>
  <si>
    <t xml:space="preserve"> ₦461,062.02 </t>
  </si>
  <si>
    <t>₦402,080.98</t>
  </si>
  <si>
    <t>T1325</t>
  </si>
  <si>
    <t>2026-05-31</t>
  </si>
  <si>
    <t xml:space="preserve"> ₦422,524.30 </t>
  </si>
  <si>
    <t>₦393,004.93</t>
  </si>
  <si>
    <t>T1326</t>
  </si>
  <si>
    <t xml:space="preserve"> ₦178,040.49 </t>
  </si>
  <si>
    <t>₦150,835.30</t>
  </si>
  <si>
    <t>T1327</t>
  </si>
  <si>
    <t xml:space="preserve"> ₦459,529.81 </t>
  </si>
  <si>
    <t>₦190,884.13</t>
  </si>
  <si>
    <t>T1328</t>
  </si>
  <si>
    <t xml:space="preserve"> ₦146,265.81 </t>
  </si>
  <si>
    <t>₦109,996.21</t>
  </si>
  <si>
    <t>T1329</t>
  </si>
  <si>
    <t xml:space="preserve"> ₦369,649.49 </t>
  </si>
  <si>
    <t>₦317,313.99</t>
  </si>
  <si>
    <t>T1330</t>
  </si>
  <si>
    <t xml:space="preserve"> ₦402,955.39 </t>
  </si>
  <si>
    <t>₦283,092.68</t>
  </si>
  <si>
    <t>T1331</t>
  </si>
  <si>
    <t>11/01/2026</t>
  </si>
  <si>
    <t xml:space="preserve"> ₦178,323.64 </t>
  </si>
  <si>
    <t>₦140,365.18</t>
  </si>
  <si>
    <t>T1332</t>
  </si>
  <si>
    <t xml:space="preserve"> ₦438,073.40 </t>
  </si>
  <si>
    <t>₦232,900.53</t>
  </si>
  <si>
    <t>T1333</t>
  </si>
  <si>
    <t>2026-02-27</t>
  </si>
  <si>
    <t xml:space="preserve"> ₦208,957.25 </t>
  </si>
  <si>
    <t>₦171,128.18</t>
  </si>
  <si>
    <t>T1334</t>
  </si>
  <si>
    <t xml:space="preserve"> ₦239,091.55 </t>
  </si>
  <si>
    <t>₦106,411.23</t>
  </si>
  <si>
    <t>T1335</t>
  </si>
  <si>
    <t xml:space="preserve"> ₦434,534.96 </t>
  </si>
  <si>
    <t>₦285,197.19</t>
  </si>
  <si>
    <t>T1336</t>
  </si>
  <si>
    <t>30/03/2026</t>
  </si>
  <si>
    <t xml:space="preserve"> ₦110,184.20 </t>
  </si>
  <si>
    <t>₦82,841.39</t>
  </si>
  <si>
    <t>T1337</t>
  </si>
  <si>
    <t>23/06/2026</t>
  </si>
  <si>
    <t xml:space="preserve"> ₦275,244.53 </t>
  </si>
  <si>
    <t>₦204,229.61</t>
  </si>
  <si>
    <t>T1338</t>
  </si>
  <si>
    <t xml:space="preserve"> ₦419,945.82 </t>
  </si>
  <si>
    <t>₦318,971.18</t>
  </si>
  <si>
    <t>T1339</t>
  </si>
  <si>
    <t xml:space="preserve"> ₦499,083.85 </t>
  </si>
  <si>
    <t>₦291,463.39</t>
  </si>
  <si>
    <t>T1340</t>
  </si>
  <si>
    <t>01/06/2026</t>
  </si>
  <si>
    <t xml:space="preserve"> ₦191,264.02 </t>
  </si>
  <si>
    <t>₦157,838.11</t>
  </si>
  <si>
    <t>T1341</t>
  </si>
  <si>
    <t xml:space="preserve"> ₦292,361.35 </t>
  </si>
  <si>
    <t>₦193,198.90</t>
  </si>
  <si>
    <t>T1342</t>
  </si>
  <si>
    <t xml:space="preserve"> ₦140,122.61 </t>
  </si>
  <si>
    <t>₦58,157.15</t>
  </si>
  <si>
    <t>T1343</t>
  </si>
  <si>
    <t xml:space="preserve"> ₦156,702.34 </t>
  </si>
  <si>
    <t>₦141,186.67</t>
  </si>
  <si>
    <t>T1344</t>
  </si>
  <si>
    <t>28/04/2026</t>
  </si>
  <si>
    <t xml:space="preserve"> ₦324,871.05 </t>
  </si>
  <si>
    <t>₦153,869.07</t>
  </si>
  <si>
    <t>T1345</t>
  </si>
  <si>
    <t>01/03/2026</t>
  </si>
  <si>
    <t xml:space="preserve"> ₦322,089.61 </t>
  </si>
  <si>
    <t>₦185,500.39</t>
  </si>
  <si>
    <t>T1346</t>
  </si>
  <si>
    <t>2026-02-14</t>
  </si>
  <si>
    <t xml:space="preserve"> ₦366,639.20 </t>
  </si>
  <si>
    <t>₦309,131.62</t>
  </si>
  <si>
    <t>T1347</t>
  </si>
  <si>
    <t xml:space="preserve"> ₦138,341.65 </t>
  </si>
  <si>
    <t>₦96,196.48</t>
  </si>
  <si>
    <t>T1348</t>
  </si>
  <si>
    <t>14/02/2026</t>
  </si>
  <si>
    <t xml:space="preserve"> ₦211,883.30 </t>
  </si>
  <si>
    <t>₦146,798.89</t>
  </si>
  <si>
    <t>T1349</t>
  </si>
  <si>
    <t>2026-01-03</t>
  </si>
  <si>
    <t xml:space="preserve"> ₦489,872.48 </t>
  </si>
  <si>
    <t>₦385,759.08</t>
  </si>
  <si>
    <t>T1350</t>
  </si>
  <si>
    <t xml:space="preserve"> ₦472,404.68 </t>
  </si>
  <si>
    <t>₦299,090.79</t>
  </si>
  <si>
    <t>T1351</t>
  </si>
  <si>
    <t xml:space="preserve"> ₦312,111.78 </t>
  </si>
  <si>
    <t>₦128,490.17</t>
  </si>
  <si>
    <t>T1352</t>
  </si>
  <si>
    <t xml:space="preserve"> ₦291,551.54 </t>
  </si>
  <si>
    <t>₦198,429.98</t>
  </si>
  <si>
    <t>T1353</t>
  </si>
  <si>
    <t xml:space="preserve"> ₦232,545.37 </t>
  </si>
  <si>
    <t>₦217,616.64</t>
  </si>
  <si>
    <t>T1354</t>
  </si>
  <si>
    <t xml:space="preserve"> ₦443,069.11 </t>
  </si>
  <si>
    <t>₦286,847.69</t>
  </si>
  <si>
    <t>T1355</t>
  </si>
  <si>
    <t xml:space="preserve"> ₦267,392.36 </t>
  </si>
  <si>
    <t>₦238,648.90</t>
  </si>
  <si>
    <t>T1356</t>
  </si>
  <si>
    <t xml:space="preserve"> ₦229,015.26 </t>
  </si>
  <si>
    <t>₦107,320.36</t>
  </si>
  <si>
    <t>T1357</t>
  </si>
  <si>
    <t xml:space="preserve"> ₦118,796.58 </t>
  </si>
  <si>
    <t>₦106,752.64</t>
  </si>
  <si>
    <t>T1358</t>
  </si>
  <si>
    <t xml:space="preserve"> ₦180,240.01 </t>
  </si>
  <si>
    <t>₦120,346.22</t>
  </si>
  <si>
    <t>T1359</t>
  </si>
  <si>
    <t xml:space="preserve"> ₦428,097.50 </t>
  </si>
  <si>
    <t>₦389,612.40</t>
  </si>
  <si>
    <t>T1360</t>
  </si>
  <si>
    <t xml:space="preserve"> ₦116,524.74 </t>
  </si>
  <si>
    <t>₦83,746.54</t>
  </si>
  <si>
    <t>T1361</t>
  </si>
  <si>
    <t xml:space="preserve"> ₦453,715.95 </t>
  </si>
  <si>
    <t>₦277,161.13</t>
  </si>
  <si>
    <t>T1362</t>
  </si>
  <si>
    <t xml:space="preserve"> ₦137,931.96 </t>
  </si>
  <si>
    <t>₦90,120.76</t>
  </si>
  <si>
    <t>T1363</t>
  </si>
  <si>
    <t xml:space="preserve"> ₦362,273.81 </t>
  </si>
  <si>
    <t>₦164,495.07</t>
  </si>
  <si>
    <t>T1364</t>
  </si>
  <si>
    <t xml:space="preserve"> ₦317,939.91 </t>
  </si>
  <si>
    <t>₦294,813.73</t>
  </si>
  <si>
    <t>T1365</t>
  </si>
  <si>
    <t xml:space="preserve"> ₦290,186.92 </t>
  </si>
  <si>
    <t>₦188,088.79</t>
  </si>
  <si>
    <t>T1366</t>
  </si>
  <si>
    <t>2026-06-11</t>
  </si>
  <si>
    <t xml:space="preserve"> ₦111,578.86 </t>
  </si>
  <si>
    <t>₦58,190.11</t>
  </si>
  <si>
    <t>T1367</t>
  </si>
  <si>
    <t xml:space="preserve"> ₦363,577.29 </t>
  </si>
  <si>
    <t>₦284,041.08</t>
  </si>
  <si>
    <t>T1368</t>
  </si>
  <si>
    <t xml:space="preserve"> ₦109,898.68 </t>
  </si>
  <si>
    <t>₦59,680.69</t>
  </si>
  <si>
    <t>T1369</t>
  </si>
  <si>
    <t>14/05/2026</t>
  </si>
  <si>
    <t xml:space="preserve"> ₦478,032.77 </t>
  </si>
  <si>
    <t>₦427,793.95</t>
  </si>
  <si>
    <t>T1370</t>
  </si>
  <si>
    <t xml:space="preserve"> ₦345,841.73 </t>
  </si>
  <si>
    <t>₦202,508.19</t>
  </si>
  <si>
    <t>T1371</t>
  </si>
  <si>
    <t xml:space="preserve"> ₦294,181.50 </t>
  </si>
  <si>
    <t>₦262,165.16</t>
  </si>
  <si>
    <t>T1372</t>
  </si>
  <si>
    <t xml:space="preserve"> ₦352,750.00 </t>
  </si>
  <si>
    <t>₦332,193.28</t>
  </si>
  <si>
    <t>T1373</t>
  </si>
  <si>
    <t>02/01/2026</t>
  </si>
  <si>
    <t xml:space="preserve"> ₦133,921.70 </t>
  </si>
  <si>
    <t>₦55,224.45</t>
  </si>
  <si>
    <t>T1374</t>
  </si>
  <si>
    <t>2026-06-08</t>
  </si>
  <si>
    <t xml:space="preserve"> ₦353,273.42 </t>
  </si>
  <si>
    <t>₦221,715.04</t>
  </si>
  <si>
    <t>T1375</t>
  </si>
  <si>
    <t>2026-03-01</t>
  </si>
  <si>
    <t xml:space="preserve"> ₦447,456.46 </t>
  </si>
  <si>
    <t>₦324,280.37</t>
  </si>
  <si>
    <t>T1376</t>
  </si>
  <si>
    <t>2026-02-08</t>
  </si>
  <si>
    <t xml:space="preserve"> ₦444,826.19 </t>
  </si>
  <si>
    <t>₦204,733.78</t>
  </si>
  <si>
    <t>T1377</t>
  </si>
  <si>
    <t>2026-03-09</t>
  </si>
  <si>
    <t xml:space="preserve"> ₦267,043.39 </t>
  </si>
  <si>
    <t>₦109,371.72</t>
  </si>
  <si>
    <t>T1378</t>
  </si>
  <si>
    <t>2026-03-31</t>
  </si>
  <si>
    <t xml:space="preserve"> ₦411,687.21 </t>
  </si>
  <si>
    <t>₦231,096.17</t>
  </si>
  <si>
    <t>T1379</t>
  </si>
  <si>
    <t xml:space="preserve"> ₦317,114.39 </t>
  </si>
  <si>
    <t>₦257,183.16</t>
  </si>
  <si>
    <t>T1380</t>
  </si>
  <si>
    <t>16/03/2026</t>
  </si>
  <si>
    <t xml:space="preserve"> ₦282,796.83 </t>
  </si>
  <si>
    <t>₦234,102.53</t>
  </si>
  <si>
    <t>T1381</t>
  </si>
  <si>
    <t xml:space="preserve"> ₦272,798.42 </t>
  </si>
  <si>
    <t>₦143,282.47</t>
  </si>
  <si>
    <t>T1382</t>
  </si>
  <si>
    <t xml:space="preserve"> ₦100,270.49 </t>
  </si>
  <si>
    <t>₦43,772.18</t>
  </si>
  <si>
    <t>T1383</t>
  </si>
  <si>
    <t xml:space="preserve"> ₦93,983.52 </t>
  </si>
  <si>
    <t>₦62,740.62</t>
  </si>
  <si>
    <t>T1384</t>
  </si>
  <si>
    <t xml:space="preserve"> ₦275,036.24 </t>
  </si>
  <si>
    <t>₦188,930.84</t>
  </si>
  <si>
    <t>T1385</t>
  </si>
  <si>
    <t>2026-04-29</t>
  </si>
  <si>
    <t xml:space="preserve"> ₦359,454.61 </t>
  </si>
  <si>
    <t>₦197,262.75</t>
  </si>
  <si>
    <t>T1386</t>
  </si>
  <si>
    <t xml:space="preserve"> ₦112,921.97 </t>
  </si>
  <si>
    <t>₦50,362.81</t>
  </si>
  <si>
    <t>T1387</t>
  </si>
  <si>
    <t xml:space="preserve"> ₦125,380.88 </t>
  </si>
  <si>
    <t>₦51,080.75</t>
  </si>
  <si>
    <t>T1388</t>
  </si>
  <si>
    <t xml:space="preserve"> ₦485,086.99 </t>
  </si>
  <si>
    <t>₦268,428.91</t>
  </si>
  <si>
    <t>T1389</t>
  </si>
  <si>
    <t xml:space="preserve"> ₦376,880.50 </t>
  </si>
  <si>
    <t>₦215,644.38</t>
  </si>
  <si>
    <t>T1390</t>
  </si>
  <si>
    <t xml:space="preserve"> ₦383,456.36 </t>
  </si>
  <si>
    <t>₦199,515.69</t>
  </si>
  <si>
    <t>T1391</t>
  </si>
  <si>
    <t>08/05/2026</t>
  </si>
  <si>
    <t xml:space="preserve"> ₦278,960.97 </t>
  </si>
  <si>
    <t>₦171,112.37</t>
  </si>
  <si>
    <t>T1392</t>
  </si>
  <si>
    <t xml:space="preserve"> ₦136,447.87 </t>
  </si>
  <si>
    <t>₦78,945.77</t>
  </si>
  <si>
    <t>T1393</t>
  </si>
  <si>
    <t xml:space="preserve"> ₦72,204.41 </t>
  </si>
  <si>
    <t>₦53,121.99</t>
  </si>
  <si>
    <t>T1394</t>
  </si>
  <si>
    <t xml:space="preserve"> ₦143,947.25 </t>
  </si>
  <si>
    <t>₦89,780.15</t>
  </si>
  <si>
    <t>T1395</t>
  </si>
  <si>
    <t xml:space="preserve"> ₦188,798.71 </t>
  </si>
  <si>
    <t>₦79,469.10</t>
  </si>
  <si>
    <t>T1396</t>
  </si>
  <si>
    <t xml:space="preserve"> ₦261,952.73 </t>
  </si>
  <si>
    <t>₦152,382.31</t>
  </si>
  <si>
    <t>T1397</t>
  </si>
  <si>
    <t>2026-03-22</t>
  </si>
  <si>
    <t xml:space="preserve"> ₦248,203.74 </t>
  </si>
  <si>
    <t>₦138,733.44</t>
  </si>
  <si>
    <t>T1398</t>
  </si>
  <si>
    <t xml:space="preserve"> ₦316,761.90 </t>
  </si>
  <si>
    <t>₦289,956.35</t>
  </si>
  <si>
    <t>T1399</t>
  </si>
  <si>
    <t>2026-02-28</t>
  </si>
  <si>
    <t xml:space="preserve"> ₦295,758.43 </t>
  </si>
  <si>
    <t>₦225,322.80</t>
  </si>
  <si>
    <t>T1400</t>
  </si>
  <si>
    <t xml:space="preserve"> ₦223,092.62 </t>
  </si>
  <si>
    <t>₦172,801.58</t>
  </si>
  <si>
    <t>T1401</t>
  </si>
  <si>
    <t xml:space="preserve"> ₦63,254.50 </t>
  </si>
  <si>
    <t>₦51,046.46</t>
  </si>
  <si>
    <t>T1402</t>
  </si>
  <si>
    <t xml:space="preserve"> ₦61,001.73 </t>
  </si>
  <si>
    <t>₦43,248.79</t>
  </si>
  <si>
    <t>T1403</t>
  </si>
  <si>
    <t xml:space="preserve"> ₦329,831.75 </t>
  </si>
  <si>
    <t>₦153,950.13</t>
  </si>
  <si>
    <t>T1404</t>
  </si>
  <si>
    <t xml:space="preserve"> ₦166,267.04 </t>
  </si>
  <si>
    <t>₦148,750.15</t>
  </si>
  <si>
    <t>T1405</t>
  </si>
  <si>
    <t xml:space="preserve"> ₦387,043.76 </t>
  </si>
  <si>
    <t>₦355,454.01</t>
  </si>
  <si>
    <t>T1406</t>
  </si>
  <si>
    <t xml:space="preserve"> ₦168,518.69 </t>
  </si>
  <si>
    <t>₦117,272.97</t>
  </si>
  <si>
    <t>T1407</t>
  </si>
  <si>
    <t>22/06/2026</t>
  </si>
  <si>
    <t xml:space="preserve"> ₦437,920.42 </t>
  </si>
  <si>
    <t>₦403,156.96</t>
  </si>
  <si>
    <t>T1408</t>
  </si>
  <si>
    <t>2026-01-26</t>
  </si>
  <si>
    <t xml:space="preserve"> ₦71,625.86 </t>
  </si>
  <si>
    <t>₦65,900.12</t>
  </si>
  <si>
    <t>T1409</t>
  </si>
  <si>
    <t xml:space="preserve"> ₦423,837.18 </t>
  </si>
  <si>
    <t>₦290,182.65</t>
  </si>
  <si>
    <t>T1410</t>
  </si>
  <si>
    <t xml:space="preserve"> ₦357,405.30 </t>
  </si>
  <si>
    <t>₦191,947.69</t>
  </si>
  <si>
    <t>T1411</t>
  </si>
  <si>
    <t xml:space="preserve"> ₦338,710.36 </t>
  </si>
  <si>
    <t>₦201,766.47</t>
  </si>
  <si>
    <t>T1412</t>
  </si>
  <si>
    <t xml:space="preserve"> ₦366,901.57 </t>
  </si>
  <si>
    <t>₦212,649.81</t>
  </si>
  <si>
    <t>T1413</t>
  </si>
  <si>
    <t xml:space="preserve"> ₦368,682.00 </t>
  </si>
  <si>
    <t>₦324,278.54</t>
  </si>
  <si>
    <t>T1414</t>
  </si>
  <si>
    <t xml:space="preserve"> ₦490,894.88 </t>
  </si>
  <si>
    <t>₦292,386.46</t>
  </si>
  <si>
    <t>T1415</t>
  </si>
  <si>
    <t xml:space="preserve"> ₦84,908.46 </t>
  </si>
  <si>
    <t>₦72,738.00</t>
  </si>
  <si>
    <t>T1416</t>
  </si>
  <si>
    <t>2026-03-03</t>
  </si>
  <si>
    <t xml:space="preserve"> ₦370,241.69 </t>
  </si>
  <si>
    <t>₦307,558.09</t>
  </si>
  <si>
    <t>T1417</t>
  </si>
  <si>
    <t xml:space="preserve"> ₦153,447.33 </t>
  </si>
  <si>
    <t>₦86,323.30</t>
  </si>
  <si>
    <t>T1418</t>
  </si>
  <si>
    <t xml:space="preserve"> ₦474,717.64 </t>
  </si>
  <si>
    <t>₦191,332.95</t>
  </si>
  <si>
    <t>T1419</t>
  </si>
  <si>
    <t xml:space="preserve"> ₦340,474.57 </t>
  </si>
  <si>
    <t>₦259,929.58</t>
  </si>
  <si>
    <t>T1420</t>
  </si>
  <si>
    <t xml:space="preserve"> ₦378,741.97 </t>
  </si>
  <si>
    <t>₦259,405.75</t>
  </si>
  <si>
    <t>T1421</t>
  </si>
  <si>
    <t>2026-01-07</t>
  </si>
  <si>
    <t xml:space="preserve"> ₦440,034.32 </t>
  </si>
  <si>
    <t>₦293,368.85</t>
  </si>
  <si>
    <t>T1422</t>
  </si>
  <si>
    <t xml:space="preserve"> ₦179,604.04 </t>
  </si>
  <si>
    <t>₦167,208.40</t>
  </si>
  <si>
    <t>T1423</t>
  </si>
  <si>
    <t xml:space="preserve"> ₦482,512.36 </t>
  </si>
  <si>
    <t>₦366,541.78</t>
  </si>
  <si>
    <t>T1424</t>
  </si>
  <si>
    <t>2026-05-09</t>
  </si>
  <si>
    <t xml:space="preserve"> ₦172,627.28 </t>
  </si>
  <si>
    <t>₦113,975.04</t>
  </si>
  <si>
    <t>T1425</t>
  </si>
  <si>
    <t>2026-01-13</t>
  </si>
  <si>
    <t xml:space="preserve"> ₦136,348.09 </t>
  </si>
  <si>
    <t>₦59,246.07</t>
  </si>
  <si>
    <t>T1426</t>
  </si>
  <si>
    <t xml:space="preserve"> ₦329,083.74 </t>
  </si>
  <si>
    <t>₦212,437.17</t>
  </si>
  <si>
    <t>T1427</t>
  </si>
  <si>
    <t>08/04/2026</t>
  </si>
  <si>
    <t xml:space="preserve"> ₦465,858.79 </t>
  </si>
  <si>
    <t>₦247,238.25</t>
  </si>
  <si>
    <t>T1428</t>
  </si>
  <si>
    <t xml:space="preserve"> ₦478,097.73 </t>
  </si>
  <si>
    <t>₦254,408.42</t>
  </si>
  <si>
    <t>T1429</t>
  </si>
  <si>
    <t xml:space="preserve"> ₦467,339.25 </t>
  </si>
  <si>
    <t>₦394,924.12</t>
  </si>
  <si>
    <t>T1430</t>
  </si>
  <si>
    <t xml:space="preserve"> ₦449,335.96 </t>
  </si>
  <si>
    <t>₦346,896.33</t>
  </si>
  <si>
    <t>T1431</t>
  </si>
  <si>
    <t xml:space="preserve"> ₦317,688.16 </t>
  </si>
  <si>
    <t>₦281,622.91</t>
  </si>
  <si>
    <t>T1432</t>
  </si>
  <si>
    <t>2026-06-22</t>
  </si>
  <si>
    <t xml:space="preserve"> ₦258,385.77 </t>
  </si>
  <si>
    <t>₦122,662.07</t>
  </si>
  <si>
    <t>T1433</t>
  </si>
  <si>
    <t xml:space="preserve"> ₦293,478.77 </t>
  </si>
  <si>
    <t>₦169,629.66</t>
  </si>
  <si>
    <t>T1434</t>
  </si>
  <si>
    <t xml:space="preserve"> ₦74,798.09 </t>
  </si>
  <si>
    <t>₦37,278.28</t>
  </si>
  <si>
    <t>T1435</t>
  </si>
  <si>
    <t>2026-06-24</t>
  </si>
  <si>
    <t xml:space="preserve"> ₦84,487.45 </t>
  </si>
  <si>
    <t>₦55,239.40</t>
  </si>
  <si>
    <t>T1436</t>
  </si>
  <si>
    <t>12/02/2026</t>
  </si>
  <si>
    <t xml:space="preserve"> ₦58,638.61 </t>
  </si>
  <si>
    <t>₦32,472.67</t>
  </si>
  <si>
    <t>T1437</t>
  </si>
  <si>
    <t xml:space="preserve"> ₦417,620.54 </t>
  </si>
  <si>
    <t>₦374,271.91</t>
  </si>
  <si>
    <t>T1438</t>
  </si>
  <si>
    <t>06/02/2026</t>
  </si>
  <si>
    <t xml:space="preserve"> ₦428,185.55 </t>
  </si>
  <si>
    <t>₦217,062.91</t>
  </si>
  <si>
    <t>T1439</t>
  </si>
  <si>
    <t xml:space="preserve"> ₦258,753.83 </t>
  </si>
  <si>
    <t>₦225,755.77</t>
  </si>
  <si>
    <t>T1440</t>
  </si>
  <si>
    <t xml:space="preserve"> ₦89,732.31 </t>
  </si>
  <si>
    <t>₦56,740.89</t>
  </si>
  <si>
    <t>T1441</t>
  </si>
  <si>
    <t xml:space="preserve"> ₦258,971.45 </t>
  </si>
  <si>
    <t>₦149,602.22</t>
  </si>
  <si>
    <t>T1442</t>
  </si>
  <si>
    <t xml:space="preserve"> ₦209,754.56 </t>
  </si>
  <si>
    <t>₦148,344.33</t>
  </si>
  <si>
    <t>T1443</t>
  </si>
  <si>
    <t>2026-01-30</t>
  </si>
  <si>
    <t xml:space="preserve"> ₦310,624.95 </t>
  </si>
  <si>
    <t>₦277,817.75</t>
  </si>
  <si>
    <t>T1444</t>
  </si>
  <si>
    <t xml:space="preserve"> ₦333,310.30 </t>
  </si>
  <si>
    <t>₦313,197.16</t>
  </si>
  <si>
    <t>T1445</t>
  </si>
  <si>
    <t xml:space="preserve"> ₦260,299.49 </t>
  </si>
  <si>
    <t>₦183,540.11</t>
  </si>
  <si>
    <t>T1446</t>
  </si>
  <si>
    <t xml:space="preserve"> ₦447,511.52 </t>
  </si>
  <si>
    <t>₦376,073.61</t>
  </si>
  <si>
    <t>T1447</t>
  </si>
  <si>
    <t xml:space="preserve"> ₦376,088.09 </t>
  </si>
  <si>
    <t>₦190,145.11</t>
  </si>
  <si>
    <t>T1448</t>
  </si>
  <si>
    <t xml:space="preserve"> ₦443,806.53 </t>
  </si>
  <si>
    <t>₦412,497.25</t>
  </si>
  <si>
    <t>T1449</t>
  </si>
  <si>
    <t>18/05/2026</t>
  </si>
  <si>
    <t xml:space="preserve"> ₦176,861.33 </t>
  </si>
  <si>
    <t>₦135,362.74</t>
  </si>
  <si>
    <t>T1450</t>
  </si>
  <si>
    <t xml:space="preserve"> ₦259,551.18 </t>
  </si>
  <si>
    <t>₦235,170.61</t>
  </si>
  <si>
    <t>T1451</t>
  </si>
  <si>
    <t>2026-03-28</t>
  </si>
  <si>
    <t xml:space="preserve"> ₦465,612.10 </t>
  </si>
  <si>
    <t>₦299,470.37</t>
  </si>
  <si>
    <t>T1452</t>
  </si>
  <si>
    <t xml:space="preserve"> ₦318,054.39 </t>
  </si>
  <si>
    <t>₦272,584.22</t>
  </si>
  <si>
    <t>T1453</t>
  </si>
  <si>
    <t>06/06/2026</t>
  </si>
  <si>
    <t xml:space="preserve"> ₦228,972.64 </t>
  </si>
  <si>
    <t>₦201,571.01</t>
  </si>
  <si>
    <t>T1454</t>
  </si>
  <si>
    <t>15/02/2026</t>
  </si>
  <si>
    <t xml:space="preserve"> ₦296,614.85 </t>
  </si>
  <si>
    <t>₦125,281.14</t>
  </si>
  <si>
    <t>T1455</t>
  </si>
  <si>
    <t xml:space="preserve"> ₦371,822.81 </t>
  </si>
  <si>
    <t>₦314,662.84</t>
  </si>
  <si>
    <t>T1456</t>
  </si>
  <si>
    <t xml:space="preserve"> ₦111,262.79 </t>
  </si>
  <si>
    <t>₦56,317.77</t>
  </si>
  <si>
    <t>T1457</t>
  </si>
  <si>
    <t xml:space="preserve"> ₦377,162.75 </t>
  </si>
  <si>
    <t>₦324,218.58</t>
  </si>
  <si>
    <t>T1458</t>
  </si>
  <si>
    <t xml:space="preserve"> ₦181,962.06 </t>
  </si>
  <si>
    <t>₦91,222.61</t>
  </si>
  <si>
    <t>T1459</t>
  </si>
  <si>
    <t xml:space="preserve"> ₦116,228.01 </t>
  </si>
  <si>
    <t>₦71,357.36</t>
  </si>
  <si>
    <t>T1460</t>
  </si>
  <si>
    <t xml:space="preserve"> ₦90,409.59 </t>
  </si>
  <si>
    <t>₦62,030.69</t>
  </si>
  <si>
    <t>T1461</t>
  </si>
  <si>
    <t xml:space="preserve"> ₦99,674.46 </t>
  </si>
  <si>
    <t>₦74,276.90</t>
  </si>
  <si>
    <t>T1462</t>
  </si>
  <si>
    <t xml:space="preserve"> ₦297,438.51 </t>
  </si>
  <si>
    <t>₦131,034.51</t>
  </si>
  <si>
    <t>T1463</t>
  </si>
  <si>
    <t xml:space="preserve"> ₦216,614.15 </t>
  </si>
  <si>
    <t>₦102,698.78</t>
  </si>
  <si>
    <t>T1464</t>
  </si>
  <si>
    <t>2026-01-18</t>
  </si>
  <si>
    <t xml:space="preserve"> ₦261,847.78 </t>
  </si>
  <si>
    <t>₦113,541.07</t>
  </si>
  <si>
    <t>T1465</t>
  </si>
  <si>
    <t xml:space="preserve"> ₦300,046.25 </t>
  </si>
  <si>
    <t>₦255,782.96</t>
  </si>
  <si>
    <t>T1466</t>
  </si>
  <si>
    <t>05/04/2026</t>
  </si>
  <si>
    <t xml:space="preserve"> ₦142,562.43 </t>
  </si>
  <si>
    <t>₦68,685.92</t>
  </si>
  <si>
    <t>T1467</t>
  </si>
  <si>
    <t xml:space="preserve"> ₦416,842.50 </t>
  </si>
  <si>
    <t>₦365,322.24</t>
  </si>
  <si>
    <t>T1468</t>
  </si>
  <si>
    <t xml:space="preserve"> ₦314,968.63 </t>
  </si>
  <si>
    <t>₦143,480.07</t>
  </si>
  <si>
    <t>T1469</t>
  </si>
  <si>
    <t xml:space="preserve"> ₦401,583.60 </t>
  </si>
  <si>
    <t>₦381,453.59</t>
  </si>
  <si>
    <t>T1470</t>
  </si>
  <si>
    <t xml:space="preserve"> ₦197,663.66 </t>
  </si>
  <si>
    <t>₦125,151.19</t>
  </si>
  <si>
    <t>T1471</t>
  </si>
  <si>
    <t xml:space="preserve"> ₦329,734.48 </t>
  </si>
  <si>
    <t>₦307,870.82</t>
  </si>
  <si>
    <t>T1472</t>
  </si>
  <si>
    <t>2026-06-16</t>
  </si>
  <si>
    <t xml:space="preserve"> ₦232,569.43 </t>
  </si>
  <si>
    <t>₦106,791.68</t>
  </si>
  <si>
    <t>T1473</t>
  </si>
  <si>
    <t xml:space="preserve"> ₦351,866.36 </t>
  </si>
  <si>
    <t>₦308,495.83</t>
  </si>
  <si>
    <t>T1474</t>
  </si>
  <si>
    <t xml:space="preserve"> ₦457,413.51 </t>
  </si>
  <si>
    <t>₦332,411.60</t>
  </si>
  <si>
    <t>T1475</t>
  </si>
  <si>
    <t xml:space="preserve"> ₦446,977.54 </t>
  </si>
  <si>
    <t>₦206,534.96</t>
  </si>
  <si>
    <t>T1476</t>
  </si>
  <si>
    <t>31/05/2026</t>
  </si>
  <si>
    <t xml:space="preserve"> ₦399,539.65 </t>
  </si>
  <si>
    <t>₦257,815.79</t>
  </si>
  <si>
    <t>T1477</t>
  </si>
  <si>
    <t xml:space="preserve"> ₦149,774.80 </t>
  </si>
  <si>
    <t>₦75,823.81</t>
  </si>
  <si>
    <t>T1478</t>
  </si>
  <si>
    <t xml:space="preserve"> ₦283,416.56 </t>
  </si>
  <si>
    <t>₦117,484.78</t>
  </si>
  <si>
    <t>T1479</t>
  </si>
  <si>
    <t>2026-02-12</t>
  </si>
  <si>
    <t xml:space="preserve"> ₦271,942.40 </t>
  </si>
  <si>
    <t>₦251,048.58</t>
  </si>
  <si>
    <t>T1480</t>
  </si>
  <si>
    <t>2026-02-24</t>
  </si>
  <si>
    <t xml:space="preserve"> ₦248,142.45 </t>
  </si>
  <si>
    <t>₦142,695.12</t>
  </si>
  <si>
    <t>T1481</t>
  </si>
  <si>
    <t>25/06/2026</t>
  </si>
  <si>
    <t xml:space="preserve"> ₦434,944.49 </t>
  </si>
  <si>
    <t>₦276,433.25</t>
  </si>
  <si>
    <t>T1482</t>
  </si>
  <si>
    <t xml:space="preserve"> ₦156,476.60 </t>
  </si>
  <si>
    <t>₦121,080.42</t>
  </si>
  <si>
    <t>T1483</t>
  </si>
  <si>
    <t xml:space="preserve"> ₦224,146.21 </t>
  </si>
  <si>
    <t>₦157,830.87</t>
  </si>
  <si>
    <t>T1484</t>
  </si>
  <si>
    <t>15/01/2026</t>
  </si>
  <si>
    <t xml:space="preserve"> ₦265,330.66 </t>
  </si>
  <si>
    <t>₦248,081.48</t>
  </si>
  <si>
    <t>T1485</t>
  </si>
  <si>
    <t xml:space="preserve"> ₦389,349.20 </t>
  </si>
  <si>
    <t>₦302,843.61</t>
  </si>
  <si>
    <t>T1486</t>
  </si>
  <si>
    <t xml:space="preserve"> ₦255,710.73 </t>
  </si>
  <si>
    <t>₦223,200.83</t>
  </si>
  <si>
    <t>T1487</t>
  </si>
  <si>
    <t xml:space="preserve"> ₦299,907.16 </t>
  </si>
  <si>
    <t>₦171,499.38</t>
  </si>
  <si>
    <t>T1488</t>
  </si>
  <si>
    <t xml:space="preserve"> ₦76,048.44 </t>
  </si>
  <si>
    <t>₦44,410.30</t>
  </si>
  <si>
    <t>T1489</t>
  </si>
  <si>
    <t xml:space="preserve"> ₦438,078.96 </t>
  </si>
  <si>
    <t>₦365,188.06</t>
  </si>
  <si>
    <t>T1490</t>
  </si>
  <si>
    <t xml:space="preserve"> ₦89,989.34 </t>
  </si>
  <si>
    <t>₦52,059.70</t>
  </si>
  <si>
    <t>T1491</t>
  </si>
  <si>
    <t xml:space="preserve"> ₦236,714.68 </t>
  </si>
  <si>
    <t>₦187,025.98</t>
  </si>
  <si>
    <t>T1492</t>
  </si>
  <si>
    <t xml:space="preserve"> ₦311,364.67 </t>
  </si>
  <si>
    <t>₦271,427.84</t>
  </si>
  <si>
    <t>T1493</t>
  </si>
  <si>
    <t>21/01/2026</t>
  </si>
  <si>
    <t xml:space="preserve"> ₦349,928.91 </t>
  </si>
  <si>
    <t>₦276,954.01</t>
  </si>
  <si>
    <t>T1494</t>
  </si>
  <si>
    <t xml:space="preserve"> ₦143,914.76 </t>
  </si>
  <si>
    <t>₦67,177.30</t>
  </si>
  <si>
    <t>T1495</t>
  </si>
  <si>
    <t>2026-01-17</t>
  </si>
  <si>
    <t xml:space="preserve"> ₦178,383.03 </t>
  </si>
  <si>
    <t>₦86,089.80</t>
  </si>
  <si>
    <t>T1496</t>
  </si>
  <si>
    <t xml:space="preserve"> ₦271,077.99 </t>
  </si>
  <si>
    <t>₦132,497.28</t>
  </si>
  <si>
    <t>T1497</t>
  </si>
  <si>
    <t>09/02/2026</t>
  </si>
  <si>
    <t xml:space="preserve"> ₦388,523.74 </t>
  </si>
  <si>
    <t>₦274,686.41</t>
  </si>
  <si>
    <t>T1498</t>
  </si>
  <si>
    <t xml:space="preserve"> ₦279,105.87 </t>
  </si>
  <si>
    <t>₦113,676.34</t>
  </si>
  <si>
    <t>T1499</t>
  </si>
  <si>
    <t xml:space="preserve"> ₦388,046.07 </t>
  </si>
  <si>
    <t>₦310,056.52</t>
  </si>
  <si>
    <t>T1500</t>
  </si>
  <si>
    <t xml:space="preserve"> ₦180,581.44 </t>
  </si>
  <si>
    <t>₦169,519.30</t>
  </si>
  <si>
    <t>T1501</t>
  </si>
  <si>
    <t xml:space="preserve"> ₦56,515.15 </t>
  </si>
  <si>
    <t>₦41,068.78</t>
  </si>
  <si>
    <t>T1502</t>
  </si>
  <si>
    <t xml:space="preserve"> ₦298,280.95 </t>
  </si>
  <si>
    <t>₦160,357.67</t>
  </si>
  <si>
    <t>T1503</t>
  </si>
  <si>
    <t xml:space="preserve"> ₦188,122.55 </t>
  </si>
  <si>
    <t>₦128,976.16</t>
  </si>
  <si>
    <t>T1504</t>
  </si>
  <si>
    <t xml:space="preserve"> ₦115,172.60 </t>
  </si>
  <si>
    <t>₦76,478.70</t>
  </si>
  <si>
    <t>T1505</t>
  </si>
  <si>
    <t>2026-01-11</t>
  </si>
  <si>
    <t xml:space="preserve"> ₦369,696.76 </t>
  </si>
  <si>
    <t>₦173,478.46</t>
  </si>
  <si>
    <t>T1506</t>
  </si>
  <si>
    <t xml:space="preserve"> ₦152,916.82 </t>
  </si>
  <si>
    <t>₦69,396.02</t>
  </si>
  <si>
    <t>T1507</t>
  </si>
  <si>
    <t>2026-04-09</t>
  </si>
  <si>
    <t xml:space="preserve"> ₦292,105.19 </t>
  </si>
  <si>
    <t>₦142,461.31</t>
  </si>
  <si>
    <t>T1508</t>
  </si>
  <si>
    <t xml:space="preserve"> ₦271,984.26 </t>
  </si>
  <si>
    <t>₦257,917.43</t>
  </si>
  <si>
    <t>T1509</t>
  </si>
  <si>
    <t xml:space="preserve"> ₦499,258.38 </t>
  </si>
  <si>
    <t>₦361,143.87</t>
  </si>
  <si>
    <t>T1510</t>
  </si>
  <si>
    <t xml:space="preserve"> ₦389,815.63 </t>
  </si>
  <si>
    <t>₦234,178.29</t>
  </si>
  <si>
    <t>T1511</t>
  </si>
  <si>
    <t>2026-06-04</t>
  </si>
  <si>
    <t xml:space="preserve"> ₦301,027.06 </t>
  </si>
  <si>
    <t>₦210,224.17</t>
  </si>
  <si>
    <t>T1512</t>
  </si>
  <si>
    <t xml:space="preserve"> ₦407,457.05 </t>
  </si>
  <si>
    <t>₦275,060.85</t>
  </si>
  <si>
    <t>T1513</t>
  </si>
  <si>
    <t>2026-06-20</t>
  </si>
  <si>
    <t xml:space="preserve"> ₦54,940.84 </t>
  </si>
  <si>
    <t>₦41,212.08</t>
  </si>
  <si>
    <t>T1514</t>
  </si>
  <si>
    <t xml:space="preserve"> ₦283,295.82 </t>
  </si>
  <si>
    <t>₦266,462.89</t>
  </si>
  <si>
    <t>T1515</t>
  </si>
  <si>
    <t>04/06/2026</t>
  </si>
  <si>
    <t xml:space="preserve"> ₦374,109.04 </t>
  </si>
  <si>
    <t>₦320,877.30</t>
  </si>
  <si>
    <t>T1516</t>
  </si>
  <si>
    <t xml:space="preserve"> ₦230,047.18 </t>
  </si>
  <si>
    <t>₦103,002.46</t>
  </si>
  <si>
    <t>T1517</t>
  </si>
  <si>
    <t xml:space="preserve"> ₦428,703.72 </t>
  </si>
  <si>
    <t>₦378,935.38</t>
  </si>
  <si>
    <t>T1518</t>
  </si>
  <si>
    <t xml:space="preserve"> ₦349,360.21 </t>
  </si>
  <si>
    <t>₦322,849.46</t>
  </si>
  <si>
    <t>T1519</t>
  </si>
  <si>
    <t xml:space="preserve"> ₦208,231.15 </t>
  </si>
  <si>
    <t>₦135,172.41</t>
  </si>
  <si>
    <t>T1520</t>
  </si>
  <si>
    <t>2026-02-19</t>
  </si>
  <si>
    <t xml:space="preserve"> ₦213,040.52 </t>
  </si>
  <si>
    <t>₦159,846.18</t>
  </si>
  <si>
    <t>T1521</t>
  </si>
  <si>
    <t xml:space="preserve"> ₦310,147.15 </t>
  </si>
  <si>
    <t>₦188,530.76</t>
  </si>
  <si>
    <t>T1522</t>
  </si>
  <si>
    <t>20/05/2026</t>
  </si>
  <si>
    <t xml:space="preserve"> ₦184,739.60 </t>
  </si>
  <si>
    <t>₦157,517.58</t>
  </si>
  <si>
    <t>T1523</t>
  </si>
  <si>
    <t xml:space="preserve"> ₦230,770.56 </t>
  </si>
  <si>
    <t>₦109,831.06</t>
  </si>
  <si>
    <t>T1524</t>
  </si>
  <si>
    <t>2026-04-15</t>
  </si>
  <si>
    <t xml:space="preserve"> ₦248,966.26 </t>
  </si>
  <si>
    <t>₦194,233.86</t>
  </si>
  <si>
    <t>T1525</t>
  </si>
  <si>
    <t>2026-04-30</t>
  </si>
  <si>
    <t xml:space="preserve"> ₦90,782.76 </t>
  </si>
  <si>
    <t>₦58,020.13</t>
  </si>
  <si>
    <t>T1526</t>
  </si>
  <si>
    <t xml:space="preserve"> ₦228,447.80 </t>
  </si>
  <si>
    <t>₦154,715.51</t>
  </si>
  <si>
    <t>T1527</t>
  </si>
  <si>
    <t xml:space="preserve"> ₦72,536.52 </t>
  </si>
  <si>
    <t>₦48,288.10</t>
  </si>
  <si>
    <t>T1528</t>
  </si>
  <si>
    <t xml:space="preserve"> ₦467,898.02 </t>
  </si>
  <si>
    <t>₦303,806.94</t>
  </si>
  <si>
    <t>T1529</t>
  </si>
  <si>
    <t xml:space="preserve"> ₦169,192.28 </t>
  </si>
  <si>
    <t>₦145,550.54</t>
  </si>
  <si>
    <t>T1530</t>
  </si>
  <si>
    <t xml:space="preserve"> ₦227,285.02 </t>
  </si>
  <si>
    <t>₦172,823.74</t>
  </si>
  <si>
    <t>T1531</t>
  </si>
  <si>
    <t>2026-05-24</t>
  </si>
  <si>
    <t xml:space="preserve"> ₦128,468.88 </t>
  </si>
  <si>
    <t>₦120,096.82</t>
  </si>
  <si>
    <t>T1532</t>
  </si>
  <si>
    <t xml:space="preserve"> ₦387,759.27 </t>
  </si>
  <si>
    <t>₦296,328.90</t>
  </si>
  <si>
    <t>T1533</t>
  </si>
  <si>
    <t>2026-03-02</t>
  </si>
  <si>
    <t xml:space="preserve"> ₦259,229.44 </t>
  </si>
  <si>
    <t>₦107,842.61</t>
  </si>
  <si>
    <t>T1534</t>
  </si>
  <si>
    <t>2026-06-06</t>
  </si>
  <si>
    <t xml:space="preserve"> ₦120,889.10 </t>
  </si>
  <si>
    <t>₦49,208.31</t>
  </si>
  <si>
    <t>T1535</t>
  </si>
  <si>
    <t xml:space="preserve"> ₦232,457.01 </t>
  </si>
  <si>
    <t>₦93,014.34</t>
  </si>
  <si>
    <t>T1536</t>
  </si>
  <si>
    <t xml:space="preserve"> ₦262,718.17 </t>
  </si>
  <si>
    <t>₦185,188.30</t>
  </si>
  <si>
    <t>T1537</t>
  </si>
  <si>
    <t xml:space="preserve"> ₦167,755.30 </t>
  </si>
  <si>
    <t>₦124,635.26</t>
  </si>
  <si>
    <t>T1538</t>
  </si>
  <si>
    <t xml:space="preserve"> ₦436,851.91 </t>
  </si>
  <si>
    <t>₦275,634.11</t>
  </si>
  <si>
    <t>T1539</t>
  </si>
  <si>
    <t>2026-01-01</t>
  </si>
  <si>
    <t xml:space="preserve"> ₦246,674.19 </t>
  </si>
  <si>
    <t>₦162,152.33</t>
  </si>
  <si>
    <t>T1540</t>
  </si>
  <si>
    <t>13/04/2026</t>
  </si>
  <si>
    <t xml:space="preserve"> ₦89,176.60 </t>
  </si>
  <si>
    <t>₦67,106.13</t>
  </si>
  <si>
    <t>T1541</t>
  </si>
  <si>
    <t xml:space="preserve"> ₦328,331.25 </t>
  </si>
  <si>
    <t>₦166,026.63</t>
  </si>
  <si>
    <t>T1542</t>
  </si>
  <si>
    <t xml:space="preserve"> ₦248,354.50 </t>
  </si>
  <si>
    <t>₦172,471.10</t>
  </si>
  <si>
    <t>T1543</t>
  </si>
  <si>
    <t>16/06/2026</t>
  </si>
  <si>
    <t xml:space="preserve"> ₦373,776.87 </t>
  </si>
  <si>
    <t>₦273,429.32</t>
  </si>
  <si>
    <t>T1544</t>
  </si>
  <si>
    <t xml:space="preserve"> ₦474,057.51 </t>
  </si>
  <si>
    <t>₦254,838.05</t>
  </si>
  <si>
    <t>T1545</t>
  </si>
  <si>
    <t xml:space="preserve"> ₦73,350.84 </t>
  </si>
  <si>
    <t>₦39,683.37</t>
  </si>
  <si>
    <t>T1546</t>
  </si>
  <si>
    <t xml:space="preserve"> ₦430,853.46 </t>
  </si>
  <si>
    <t>₦346,212.81</t>
  </si>
  <si>
    <t>T1547</t>
  </si>
  <si>
    <t xml:space="preserve"> ₦102,583.06 </t>
  </si>
  <si>
    <t>₦97,213.79</t>
  </si>
  <si>
    <t>T1548</t>
  </si>
  <si>
    <t xml:space="preserve"> ₦353,070.11 </t>
  </si>
  <si>
    <t>₦197,338.14</t>
  </si>
  <si>
    <t>T1549</t>
  </si>
  <si>
    <t>01/02/2026</t>
  </si>
  <si>
    <t xml:space="preserve"> ₦355,965.40 </t>
  </si>
  <si>
    <t>₦273,517.58</t>
  </si>
  <si>
    <t>T1550</t>
  </si>
  <si>
    <t>2026-03-19</t>
  </si>
  <si>
    <t xml:space="preserve"> ₦437,035.04 </t>
  </si>
  <si>
    <t>₦237,380.25</t>
  </si>
  <si>
    <t>T1551</t>
  </si>
  <si>
    <t xml:space="preserve"> ₦211,222.69 </t>
  </si>
  <si>
    <t>₦102,408.03</t>
  </si>
  <si>
    <t>T1552</t>
  </si>
  <si>
    <t xml:space="preserve"> ₦493,071.29 </t>
  </si>
  <si>
    <t>₦213,140.31</t>
  </si>
  <si>
    <t>T1553</t>
  </si>
  <si>
    <t xml:space="preserve"> ₦120,931.99 </t>
  </si>
  <si>
    <t>₦54,118.85</t>
  </si>
  <si>
    <t>T1554</t>
  </si>
  <si>
    <t xml:space="preserve"> ₦191,736.23 </t>
  </si>
  <si>
    <t>₦121,156.48</t>
  </si>
  <si>
    <t>T1555</t>
  </si>
  <si>
    <t xml:space="preserve"> ₦325,092.00 </t>
  </si>
  <si>
    <t>₦279,778.68</t>
  </si>
  <si>
    <t>T1556</t>
  </si>
  <si>
    <t xml:space="preserve"> ₦51,061.67 </t>
  </si>
  <si>
    <t>₦23,144.59</t>
  </si>
  <si>
    <t>T1557</t>
  </si>
  <si>
    <t xml:space="preserve"> ₦468,673.15 </t>
  </si>
  <si>
    <t>₦246,107.33</t>
  </si>
  <si>
    <t>T1558</t>
  </si>
  <si>
    <t xml:space="preserve"> ₦163,982.21 </t>
  </si>
  <si>
    <t>₦69,528.95</t>
  </si>
  <si>
    <t>T1559</t>
  </si>
  <si>
    <t xml:space="preserve"> ₦172,330.04 </t>
  </si>
  <si>
    <t>₦121,059.45</t>
  </si>
  <si>
    <t>T1560</t>
  </si>
  <si>
    <t xml:space="preserve"> ₦241,486.85 </t>
  </si>
  <si>
    <t>₦222,410.72</t>
  </si>
  <si>
    <t>T1561</t>
  </si>
  <si>
    <t xml:space="preserve"> ₦154,720.54 </t>
  </si>
  <si>
    <t>₦139,723.79</t>
  </si>
  <si>
    <t>T1562</t>
  </si>
  <si>
    <t xml:space="preserve"> ₦269,632.81 </t>
  </si>
  <si>
    <t>₦127,722.29</t>
  </si>
  <si>
    <t>T1563</t>
  </si>
  <si>
    <t xml:space="preserve"> ₦228,722.05 </t>
  </si>
  <si>
    <t>₦138,057.37</t>
  </si>
  <si>
    <t>T1564</t>
  </si>
  <si>
    <t xml:space="preserve"> ₦263,899.54 </t>
  </si>
  <si>
    <t>₦229,682.54</t>
  </si>
  <si>
    <t>T1565</t>
  </si>
  <si>
    <t xml:space="preserve"> ₦193,492.79 </t>
  </si>
  <si>
    <t>₦92,830.65</t>
  </si>
  <si>
    <t>T1566</t>
  </si>
  <si>
    <t xml:space="preserve"> ₦59,507.15 </t>
  </si>
  <si>
    <t>₦29,828.95</t>
  </si>
  <si>
    <t>T1567</t>
  </si>
  <si>
    <t xml:space="preserve"> ₦389,400.05 </t>
  </si>
  <si>
    <t>₦317,275.62</t>
  </si>
  <si>
    <t>T1568</t>
  </si>
  <si>
    <t xml:space="preserve"> ₦116,589.27 </t>
  </si>
  <si>
    <t>₦46,885.98</t>
  </si>
  <si>
    <t>T1569</t>
  </si>
  <si>
    <t xml:space="preserve"> ₦106,402.01 </t>
  </si>
  <si>
    <t>₦100,514.35</t>
  </si>
  <si>
    <t>T1570</t>
  </si>
  <si>
    <t xml:space="preserve"> ₦188,738.40 </t>
  </si>
  <si>
    <t>₦94,639.46</t>
  </si>
  <si>
    <t>T1571</t>
  </si>
  <si>
    <t xml:space="preserve"> ₦388,102.14 </t>
  </si>
  <si>
    <t>₦268,211.03</t>
  </si>
  <si>
    <t>T1572</t>
  </si>
  <si>
    <t xml:space="preserve"> ₦414,119.33 </t>
  </si>
  <si>
    <t>₦174,344.62</t>
  </si>
  <si>
    <t>T1573</t>
  </si>
  <si>
    <t>04/01/2026</t>
  </si>
  <si>
    <t xml:space="preserve"> ₦88,323.15 </t>
  </si>
  <si>
    <t>₦54,043.62</t>
  </si>
  <si>
    <t>T1574</t>
  </si>
  <si>
    <t>2026-06-29</t>
  </si>
  <si>
    <t xml:space="preserve"> ₦293,927.52 </t>
  </si>
  <si>
    <t>₦164,832.58</t>
  </si>
  <si>
    <t>T1575</t>
  </si>
  <si>
    <t xml:space="preserve"> ₦180,017.99 </t>
  </si>
  <si>
    <t>₦118,817.30</t>
  </si>
  <si>
    <t>T1576</t>
  </si>
  <si>
    <t xml:space="preserve"> ₦310,631.51 </t>
  </si>
  <si>
    <t>₦204,628.32</t>
  </si>
  <si>
    <t>T1577</t>
  </si>
  <si>
    <t>2026-01-25</t>
  </si>
  <si>
    <t xml:space="preserve"> ₦222,447.68 </t>
  </si>
  <si>
    <t>₦139,416.39</t>
  </si>
  <si>
    <t>T1578</t>
  </si>
  <si>
    <t xml:space="preserve"> ₦253,446.01 </t>
  </si>
  <si>
    <t>₦183,433.74</t>
  </si>
  <si>
    <t>T1579</t>
  </si>
  <si>
    <t xml:space="preserve"> ₦234,995.14 </t>
  </si>
  <si>
    <t>₦203,224.44</t>
  </si>
  <si>
    <t>T1580</t>
  </si>
  <si>
    <t xml:space="preserve"> ₦121,961.78 </t>
  </si>
  <si>
    <t>₦91,345.02</t>
  </si>
  <si>
    <t>T1581</t>
  </si>
  <si>
    <t>26/04/2026</t>
  </si>
  <si>
    <t xml:space="preserve"> ₦360,686.66 </t>
  </si>
  <si>
    <t>₦158,978.90</t>
  </si>
  <si>
    <t>T1582</t>
  </si>
  <si>
    <t>2026-05-28</t>
  </si>
  <si>
    <t xml:space="preserve"> ₦170,862.89 </t>
  </si>
  <si>
    <t>₦161,064.72</t>
  </si>
  <si>
    <t>T1583</t>
  </si>
  <si>
    <t xml:space="preserve"> ₦224,236.26 </t>
  </si>
  <si>
    <t>₦196,437.33</t>
  </si>
  <si>
    <t>T1584</t>
  </si>
  <si>
    <t xml:space="preserve"> ₦278,085.61 </t>
  </si>
  <si>
    <t>₦147,272.95</t>
  </si>
  <si>
    <t>T1585</t>
  </si>
  <si>
    <t xml:space="preserve"> ₦374,187.94 </t>
  </si>
  <si>
    <t>₦334,119.61</t>
  </si>
  <si>
    <t>T1586</t>
  </si>
  <si>
    <t>2026-03-08</t>
  </si>
  <si>
    <t xml:space="preserve"> ₦137,896.46 </t>
  </si>
  <si>
    <t>₦115,512.10</t>
  </si>
  <si>
    <t>T1587</t>
  </si>
  <si>
    <t xml:space="preserve"> ₦65,523.34 </t>
  </si>
  <si>
    <t>₦34,254.90</t>
  </si>
  <si>
    <t>T1588</t>
  </si>
  <si>
    <t>11/03/2026</t>
  </si>
  <si>
    <t xml:space="preserve"> ₦463,458.88 </t>
  </si>
  <si>
    <t>₦275,935.83</t>
  </si>
  <si>
    <t>T1589</t>
  </si>
  <si>
    <t>2026-06-03</t>
  </si>
  <si>
    <t xml:space="preserve"> ₦316,143.84 </t>
  </si>
  <si>
    <t>₦171,610.70</t>
  </si>
  <si>
    <t>T1590</t>
  </si>
  <si>
    <t xml:space="preserve"> ₦423,653.56 </t>
  </si>
  <si>
    <t>₦300,558.25</t>
  </si>
  <si>
    <t>T1591</t>
  </si>
  <si>
    <t>2026-05-12</t>
  </si>
  <si>
    <t xml:space="preserve"> ₦163,784.55 </t>
  </si>
  <si>
    <t>₦147,421.27</t>
  </si>
  <si>
    <t>T1592</t>
  </si>
  <si>
    <t xml:space="preserve"> ₦300,124.87 </t>
  </si>
  <si>
    <t>₦207,965.11</t>
  </si>
  <si>
    <t>T1593</t>
  </si>
  <si>
    <t xml:space="preserve"> ₦402,281.37 </t>
  </si>
  <si>
    <t>₦351,441.91</t>
  </si>
  <si>
    <t>T1594</t>
  </si>
  <si>
    <t xml:space="preserve"> ₦70,058.94 </t>
  </si>
  <si>
    <t>₦37,722.57</t>
  </si>
  <si>
    <t>T1595</t>
  </si>
  <si>
    <t xml:space="preserve"> ₦390,896.50 </t>
  </si>
  <si>
    <t>₦173,842.08</t>
  </si>
  <si>
    <t>T1596</t>
  </si>
  <si>
    <t xml:space="preserve"> ₦288,979.93 </t>
  </si>
  <si>
    <t>₦235,685.55</t>
  </si>
  <si>
    <t>T1597</t>
  </si>
  <si>
    <t xml:space="preserve"> ₦357,599.63 </t>
  </si>
  <si>
    <t>₦329,000.04</t>
  </si>
  <si>
    <t>T1598</t>
  </si>
  <si>
    <t xml:space="preserve"> ₦170,574.77 </t>
  </si>
  <si>
    <t>₦147,808.45</t>
  </si>
  <si>
    <t>T1599</t>
  </si>
  <si>
    <t xml:space="preserve"> ₦51,339.54 </t>
  </si>
  <si>
    <t>₦26,796.46</t>
  </si>
  <si>
    <t>T1600</t>
  </si>
  <si>
    <t xml:space="preserve"> ₦482,176.54 </t>
  </si>
  <si>
    <t>₦226,764.48</t>
  </si>
  <si>
    <t>T1601</t>
  </si>
  <si>
    <t xml:space="preserve"> ₦318,046.86 </t>
  </si>
  <si>
    <t>₦200,005.38</t>
  </si>
  <si>
    <t>T1602</t>
  </si>
  <si>
    <t xml:space="preserve"> ₦274,951.50 </t>
  </si>
  <si>
    <t>₦157,900.80</t>
  </si>
  <si>
    <t>T1603</t>
  </si>
  <si>
    <t xml:space="preserve"> ₦216,028.83 </t>
  </si>
  <si>
    <t>₦147,399.79</t>
  </si>
  <si>
    <t>T1604</t>
  </si>
  <si>
    <t xml:space="preserve"> ₦215,078.49 </t>
  </si>
  <si>
    <t>₦160,924.03</t>
  </si>
  <si>
    <t>T1605</t>
  </si>
  <si>
    <t xml:space="preserve"> ₦103,507.12 </t>
  </si>
  <si>
    <t>₦74,143.11</t>
  </si>
  <si>
    <t>T1606</t>
  </si>
  <si>
    <t>2026-04-16</t>
  </si>
  <si>
    <t xml:space="preserve"> ₦490,975.93 </t>
  </si>
  <si>
    <t>₦228,426.86</t>
  </si>
  <si>
    <t>T1607</t>
  </si>
  <si>
    <t xml:space="preserve"> ₦207,000.94 </t>
  </si>
  <si>
    <t>₦174,003.03</t>
  </si>
  <si>
    <t>T1608</t>
  </si>
  <si>
    <t>04/03/2026</t>
  </si>
  <si>
    <t xml:space="preserve"> ₦420,566.05 </t>
  </si>
  <si>
    <t>₦208,585.05</t>
  </si>
  <si>
    <t>T1609</t>
  </si>
  <si>
    <t xml:space="preserve"> ₦351,097.93 </t>
  </si>
  <si>
    <t>₦315,951.11</t>
  </si>
  <si>
    <t>T1610</t>
  </si>
  <si>
    <t xml:space="preserve"> ₦424,384.67 </t>
  </si>
  <si>
    <t>₦329,245.43</t>
  </si>
  <si>
    <t>T1611</t>
  </si>
  <si>
    <t>22/01/2026</t>
  </si>
  <si>
    <t xml:space="preserve"> ₦420,240.34 </t>
  </si>
  <si>
    <t>₦191,486.46</t>
  </si>
  <si>
    <t>T1612</t>
  </si>
  <si>
    <t xml:space="preserve"> ₦92,841.25 </t>
  </si>
  <si>
    <t>₦61,419.07</t>
  </si>
  <si>
    <t>T1613</t>
  </si>
  <si>
    <t xml:space="preserve"> ₦69,421.80 </t>
  </si>
  <si>
    <t>₦38,965.55</t>
  </si>
  <si>
    <t>T1614</t>
  </si>
  <si>
    <t>20/01/2026</t>
  </si>
  <si>
    <t xml:space="preserve"> ₦398,548.66 </t>
  </si>
  <si>
    <t>₦167,861.70</t>
  </si>
  <si>
    <t>T1615</t>
  </si>
  <si>
    <t xml:space="preserve"> ₦239,658.38 </t>
  </si>
  <si>
    <t>₦122,013.54</t>
  </si>
  <si>
    <t>T1616</t>
  </si>
  <si>
    <t xml:space="preserve"> ₦379,454.85 </t>
  </si>
  <si>
    <t>₦324,819.09</t>
  </si>
  <si>
    <t>T1617</t>
  </si>
  <si>
    <t xml:space="preserve"> ₦356,469.35 </t>
  </si>
  <si>
    <t>₦239,356.09</t>
  </si>
  <si>
    <t>T1618</t>
  </si>
  <si>
    <t xml:space="preserve"> ₦495,178.50 </t>
  </si>
  <si>
    <t>₦428,172.28</t>
  </si>
  <si>
    <t>T1619</t>
  </si>
  <si>
    <t xml:space="preserve"> ₦406,605.60 </t>
  </si>
  <si>
    <t>₦219,191.49</t>
  </si>
  <si>
    <t>T1620</t>
  </si>
  <si>
    <t xml:space="preserve"> ₦323,935.17 </t>
  </si>
  <si>
    <t>₦292,715.31</t>
  </si>
  <si>
    <t>T1621</t>
  </si>
  <si>
    <t xml:space="preserve"> ₦289,851.08 </t>
  </si>
  <si>
    <t>₦162,175.81</t>
  </si>
  <si>
    <t>T1622</t>
  </si>
  <si>
    <t>2026-06-18</t>
  </si>
  <si>
    <t xml:space="preserve"> ₦202,600.92 </t>
  </si>
  <si>
    <t>₦94,644.43</t>
  </si>
  <si>
    <t>T1623</t>
  </si>
  <si>
    <t xml:space="preserve"> ₦352,851.92 </t>
  </si>
  <si>
    <t>₦232,479.76</t>
  </si>
  <si>
    <t>T1624</t>
  </si>
  <si>
    <t xml:space="preserve"> ₦211,713.51 </t>
  </si>
  <si>
    <t>₦94,574.50</t>
  </si>
  <si>
    <t>T1625</t>
  </si>
  <si>
    <t>15/03/2026</t>
  </si>
  <si>
    <t xml:space="preserve"> ₦318,247.79 </t>
  </si>
  <si>
    <t>₦247,100.72</t>
  </si>
  <si>
    <t>T1626</t>
  </si>
  <si>
    <t xml:space="preserve"> ₦448,373.26 </t>
  </si>
  <si>
    <t>₦221,748.37</t>
  </si>
  <si>
    <t>T1627</t>
  </si>
  <si>
    <t xml:space="preserve"> ₦54,064.84 </t>
  </si>
  <si>
    <t>₦33,225.33</t>
  </si>
  <si>
    <t>T1628</t>
  </si>
  <si>
    <t xml:space="preserve"> ₦469,697.97 </t>
  </si>
  <si>
    <t>₦343,842.89</t>
  </si>
  <si>
    <t>T1629</t>
  </si>
  <si>
    <t xml:space="preserve"> ₦248,371.11 </t>
  </si>
  <si>
    <t>₦214,837.34</t>
  </si>
  <si>
    <t>T1630</t>
  </si>
  <si>
    <t>03/02/2026</t>
  </si>
  <si>
    <t xml:space="preserve"> ₦383,031.50 </t>
  </si>
  <si>
    <t>₦304,052.50</t>
  </si>
  <si>
    <t>T1631</t>
  </si>
  <si>
    <t xml:space="preserve"> ₦494,051.27 </t>
  </si>
  <si>
    <t>₦395,655.76</t>
  </si>
  <si>
    <t>T1632</t>
  </si>
  <si>
    <t xml:space="preserve"> ₦240,626.54 </t>
  </si>
  <si>
    <t>₦157,799.63</t>
  </si>
  <si>
    <t>T1633</t>
  </si>
  <si>
    <t xml:space="preserve"> ₦184,652.36 </t>
  </si>
  <si>
    <t>₦107,428.93</t>
  </si>
  <si>
    <t>T1634</t>
  </si>
  <si>
    <t xml:space="preserve"> ₦53,520.62 </t>
  </si>
  <si>
    <t>₦38,101.33</t>
  </si>
  <si>
    <t>T1635</t>
  </si>
  <si>
    <t xml:space="preserve"> ₦52,770.87 </t>
  </si>
  <si>
    <t>₦42,986.38</t>
  </si>
  <si>
    <t>T1636</t>
  </si>
  <si>
    <t>26/03/2026</t>
  </si>
  <si>
    <t xml:space="preserve"> ₦404,325.58 </t>
  </si>
  <si>
    <t>₦209,831.60</t>
  </si>
  <si>
    <t>T1637</t>
  </si>
  <si>
    <t xml:space="preserve"> ₦497,742.07 </t>
  </si>
  <si>
    <t>₦444,277.15</t>
  </si>
  <si>
    <t>T1638</t>
  </si>
  <si>
    <t xml:space="preserve"> ₦478,222.52 </t>
  </si>
  <si>
    <t>₦414,709.09</t>
  </si>
  <si>
    <t>T1639</t>
  </si>
  <si>
    <t xml:space="preserve"> ₦498,546.40 </t>
  </si>
  <si>
    <t>₦322,907.05</t>
  </si>
  <si>
    <t>T1640</t>
  </si>
  <si>
    <t xml:space="preserve"> ₦70,256.29 </t>
  </si>
  <si>
    <t>₦63,096.20</t>
  </si>
  <si>
    <t>T1641</t>
  </si>
  <si>
    <t xml:space="preserve"> ₦282,519.60 </t>
  </si>
  <si>
    <t>₦214,414.41</t>
  </si>
  <si>
    <t>T1642</t>
  </si>
  <si>
    <t>2026-03-05</t>
  </si>
  <si>
    <t xml:space="preserve"> ₦380,739.14 </t>
  </si>
  <si>
    <t>₦270,568.81</t>
  </si>
  <si>
    <t>T1643</t>
  </si>
  <si>
    <t>04/02/2026</t>
  </si>
  <si>
    <t xml:space="preserve"> ₦431,632.68 </t>
  </si>
  <si>
    <t>₦376,737.99</t>
  </si>
  <si>
    <t>T1644</t>
  </si>
  <si>
    <t xml:space="preserve"> ₦185,152.38 </t>
  </si>
  <si>
    <t>₦86,260.27</t>
  </si>
  <si>
    <t>T1645</t>
  </si>
  <si>
    <t xml:space="preserve"> ₦283,016.24 </t>
  </si>
  <si>
    <t>₦219,703.31</t>
  </si>
  <si>
    <t>T1646</t>
  </si>
  <si>
    <t xml:space="preserve"> ₦169,330.78 </t>
  </si>
  <si>
    <t>₦118,487.45</t>
  </si>
  <si>
    <t>T1647</t>
  </si>
  <si>
    <t xml:space="preserve"> ₦489,850.97 </t>
  </si>
  <si>
    <t>₦398,202.76</t>
  </si>
  <si>
    <t>T1648</t>
  </si>
  <si>
    <t xml:space="preserve"> ₦357,526.62 </t>
  </si>
  <si>
    <t>₦212,983.89</t>
  </si>
  <si>
    <t>T1649</t>
  </si>
  <si>
    <t xml:space="preserve"> ₦431,997.32 </t>
  </si>
  <si>
    <t>₦315,834.76</t>
  </si>
  <si>
    <t>T1650</t>
  </si>
  <si>
    <t xml:space="preserve"> ₦59,883.36 </t>
  </si>
  <si>
    <t>₦27,602.54</t>
  </si>
  <si>
    <t>T1651</t>
  </si>
  <si>
    <t xml:space="preserve"> ₦174,069.25 </t>
  </si>
  <si>
    <t>₦95,728.57</t>
  </si>
  <si>
    <t>T1652</t>
  </si>
  <si>
    <t xml:space="preserve"> ₦393,091.05 </t>
  </si>
  <si>
    <t>₦174,067.44</t>
  </si>
  <si>
    <t>T1653</t>
  </si>
  <si>
    <t xml:space="preserve"> ₦422,959.51 </t>
  </si>
  <si>
    <t>₦222,879.21</t>
  </si>
  <si>
    <t>T1654</t>
  </si>
  <si>
    <t xml:space="preserve"> ₦215,097.29 </t>
  </si>
  <si>
    <t>₦202,727.80</t>
  </si>
  <si>
    <t>T1655</t>
  </si>
  <si>
    <t xml:space="preserve"> ₦242,047.15 </t>
  </si>
  <si>
    <t>₦149,944.74</t>
  </si>
  <si>
    <t>T1656</t>
  </si>
  <si>
    <t xml:space="preserve"> ₦72,740.68 </t>
  </si>
  <si>
    <t>₦31,997.26</t>
  </si>
  <si>
    <t>T1657</t>
  </si>
  <si>
    <t xml:space="preserve"> ₦54,985.46 </t>
  </si>
  <si>
    <t>₦45,657.59</t>
  </si>
  <si>
    <t>T1658</t>
  </si>
  <si>
    <t xml:space="preserve"> ₦58,181.41 </t>
  </si>
  <si>
    <t>₦35,375.59</t>
  </si>
  <si>
    <t>T1659</t>
  </si>
  <si>
    <t xml:space="preserve"> ₦215,358.52 </t>
  </si>
  <si>
    <t>₦145,497.08</t>
  </si>
  <si>
    <t>T1660</t>
  </si>
  <si>
    <t xml:space="preserve"> ₦392,473.10 </t>
  </si>
  <si>
    <t>₦164,270.54</t>
  </si>
  <si>
    <t>T1661</t>
  </si>
  <si>
    <t xml:space="preserve"> ₦63,536.92 </t>
  </si>
  <si>
    <t>₦59,704.70</t>
  </si>
  <si>
    <t>T1662</t>
  </si>
  <si>
    <t xml:space="preserve"> ₦307,897.01 </t>
  </si>
  <si>
    <t>₦221,191.03</t>
  </si>
  <si>
    <t>T1663</t>
  </si>
  <si>
    <t xml:space="preserve"> ₦71,793.85 </t>
  </si>
  <si>
    <t>₦65,905.37</t>
  </si>
  <si>
    <t>T1664</t>
  </si>
  <si>
    <t>24/02/2026</t>
  </si>
  <si>
    <t xml:space="preserve"> ₦65,394.74 </t>
  </si>
  <si>
    <t>₦58,588.34</t>
  </si>
  <si>
    <t>T1665</t>
  </si>
  <si>
    <t xml:space="preserve"> ₦124,609.25 </t>
  </si>
  <si>
    <t>₦82,358.16</t>
  </si>
  <si>
    <t>T1666</t>
  </si>
  <si>
    <t xml:space="preserve"> ₦199,681.14 </t>
  </si>
  <si>
    <t>₦156,345.41</t>
  </si>
  <si>
    <t>T1667</t>
  </si>
  <si>
    <t xml:space="preserve"> ₦360,977.22 </t>
  </si>
  <si>
    <t>₦181,507.74</t>
  </si>
  <si>
    <t>T1668</t>
  </si>
  <si>
    <t xml:space="preserve"> ₦135,763.43 </t>
  </si>
  <si>
    <t>₦64,520.19</t>
  </si>
  <si>
    <t>T1669</t>
  </si>
  <si>
    <t xml:space="preserve"> ₦447,703.08 </t>
  </si>
  <si>
    <t>₦310,909.59</t>
  </si>
  <si>
    <t>T1670</t>
  </si>
  <si>
    <t xml:space="preserve"> ₦392,856.07 </t>
  </si>
  <si>
    <t>₦157,374.99</t>
  </si>
  <si>
    <t>T1671</t>
  </si>
  <si>
    <t xml:space="preserve"> ₦126,781.74 </t>
  </si>
  <si>
    <t>₦118,202.26</t>
  </si>
  <si>
    <t>T1672</t>
  </si>
  <si>
    <t xml:space="preserve"> ₦223,088.82 </t>
  </si>
  <si>
    <t>₦91,971.55</t>
  </si>
  <si>
    <t>T1673</t>
  </si>
  <si>
    <t>18/04/2026</t>
  </si>
  <si>
    <t xml:space="preserve"> ₦307,907.34 </t>
  </si>
  <si>
    <t>₦269,143.43</t>
  </si>
  <si>
    <t>T1674</t>
  </si>
  <si>
    <t xml:space="preserve"> ₦240,175.91 </t>
  </si>
  <si>
    <t>₦101,507.02</t>
  </si>
  <si>
    <t>T1675</t>
  </si>
  <si>
    <t xml:space="preserve"> ₦380,034.46 </t>
  </si>
  <si>
    <t>₦245,540.52</t>
  </si>
  <si>
    <t>T1676</t>
  </si>
  <si>
    <t xml:space="preserve"> ₦188,455.22 </t>
  </si>
  <si>
    <t>₦89,208.62</t>
  </si>
  <si>
    <t>T1677</t>
  </si>
  <si>
    <t xml:space="preserve"> ₦435,725.25 </t>
  </si>
  <si>
    <t>₦388,454.57</t>
  </si>
  <si>
    <t>T1678</t>
  </si>
  <si>
    <t xml:space="preserve"> ₦338,312.92 </t>
  </si>
  <si>
    <t>₦146,292.76</t>
  </si>
  <si>
    <t>T1679</t>
  </si>
  <si>
    <t xml:space="preserve"> ₦332,319.45 </t>
  </si>
  <si>
    <t>₦248,205.91</t>
  </si>
  <si>
    <t>T1680</t>
  </si>
  <si>
    <t xml:space="preserve"> ₦343,045.06 </t>
  </si>
  <si>
    <t>₦242,095.40</t>
  </si>
  <si>
    <t>T1681</t>
  </si>
  <si>
    <t xml:space="preserve"> ₦315,393.47 </t>
  </si>
  <si>
    <t>₦135,443.54</t>
  </si>
  <si>
    <t>T1682</t>
  </si>
  <si>
    <t>2026-05-10</t>
  </si>
  <si>
    <t xml:space="preserve"> ₦465,020.91 </t>
  </si>
  <si>
    <t>₦348,832.85</t>
  </si>
  <si>
    <t>T1683</t>
  </si>
  <si>
    <t xml:space="preserve"> ₦231,897.88 </t>
  </si>
  <si>
    <t>₦120,316.13</t>
  </si>
  <si>
    <t>T1684</t>
  </si>
  <si>
    <t xml:space="preserve"> ₦341,184.77 </t>
  </si>
  <si>
    <t>₦174,905.04</t>
  </si>
  <si>
    <t>T1685</t>
  </si>
  <si>
    <t xml:space="preserve"> ₦354,086.65 </t>
  </si>
  <si>
    <t>₦296,229.89</t>
  </si>
  <si>
    <t>T1686</t>
  </si>
  <si>
    <t xml:space="preserve"> ₦184,957.80 </t>
  </si>
  <si>
    <t>₦158,374.88</t>
  </si>
  <si>
    <t>T1687</t>
  </si>
  <si>
    <t xml:space="preserve"> ₦361,219.59 </t>
  </si>
  <si>
    <t>₦306,698.93</t>
  </si>
  <si>
    <t>T1688</t>
  </si>
  <si>
    <t xml:space="preserve"> ₦212,282.44 </t>
  </si>
  <si>
    <t>₦183,104.93</t>
  </si>
  <si>
    <t>T1689</t>
  </si>
  <si>
    <t xml:space="preserve"> ₦390,731.57 </t>
  </si>
  <si>
    <t>₦355,230.94</t>
  </si>
  <si>
    <t>T1690</t>
  </si>
  <si>
    <t xml:space="preserve"> ₦212,356.30 </t>
  </si>
  <si>
    <t>₦148,128.88</t>
  </si>
  <si>
    <t>T1691</t>
  </si>
  <si>
    <t>15/05/2026</t>
  </si>
  <si>
    <t xml:space="preserve"> ₦187,192.55 </t>
  </si>
  <si>
    <t>₦172,490.93</t>
  </si>
  <si>
    <t>T1692</t>
  </si>
  <si>
    <t>19/01/2026</t>
  </si>
  <si>
    <t xml:space="preserve"> ₦328,521.17 </t>
  </si>
  <si>
    <t>₦150,924.69</t>
  </si>
  <si>
    <t>T1693</t>
  </si>
  <si>
    <t xml:space="preserve"> ₦145,264.14 </t>
  </si>
  <si>
    <t>₦115,747.85</t>
  </si>
  <si>
    <t>T1694</t>
  </si>
  <si>
    <t xml:space="preserve"> ₦210,280.32 </t>
  </si>
  <si>
    <t>₦89,114.10</t>
  </si>
  <si>
    <t>T1695</t>
  </si>
  <si>
    <t>2026-06-19</t>
  </si>
  <si>
    <t xml:space="preserve"> ₦257,144.08 </t>
  </si>
  <si>
    <t>₦126,985.04</t>
  </si>
  <si>
    <t>T1696</t>
  </si>
  <si>
    <t>2026-01-10</t>
  </si>
  <si>
    <t xml:space="preserve"> ₦349,331.16 </t>
  </si>
  <si>
    <t>₦244,340.20</t>
  </si>
  <si>
    <t>T1697</t>
  </si>
  <si>
    <t xml:space="preserve"> ₦353,520.10 </t>
  </si>
  <si>
    <t>₦173,683.60</t>
  </si>
  <si>
    <t>T1698</t>
  </si>
  <si>
    <t xml:space="preserve"> ₦155,183.83 </t>
  </si>
  <si>
    <t>₦127,899.67</t>
  </si>
  <si>
    <t>T1699</t>
  </si>
  <si>
    <t xml:space="preserve"> ₦387,379.10 </t>
  </si>
  <si>
    <t>₦235,010.48</t>
  </si>
  <si>
    <t>T1700</t>
  </si>
  <si>
    <t xml:space="preserve"> ₦491,022.58 </t>
  </si>
  <si>
    <t>₦370,277.05</t>
  </si>
  <si>
    <t>T1701</t>
  </si>
  <si>
    <t xml:space="preserve"> ₦366,889.75 </t>
  </si>
  <si>
    <t>₦227,036.92</t>
  </si>
  <si>
    <t>T1702</t>
  </si>
  <si>
    <t xml:space="preserve"> ₦91,672.02 </t>
  </si>
  <si>
    <t>₦61,660.69</t>
  </si>
  <si>
    <t>T1703</t>
  </si>
  <si>
    <t xml:space="preserve"> ₦185,640.74 </t>
  </si>
  <si>
    <t>₦160,776.52</t>
  </si>
  <si>
    <t>T1704</t>
  </si>
  <si>
    <t xml:space="preserve"> ₦373,308.22 </t>
  </si>
  <si>
    <t>₦189,983.84</t>
  </si>
  <si>
    <t>T1705</t>
  </si>
  <si>
    <t xml:space="preserve"> ₦401,054.30 </t>
  </si>
  <si>
    <t>₦174,947.29</t>
  </si>
  <si>
    <t>T1706</t>
  </si>
  <si>
    <t xml:space="preserve"> ₦431,087.87 </t>
  </si>
  <si>
    <t>₦231,494.09</t>
  </si>
  <si>
    <t>T1707</t>
  </si>
  <si>
    <t xml:space="preserve"> ₦444,467.44 </t>
  </si>
  <si>
    <t>₦407,695.11</t>
  </si>
  <si>
    <t>T1708</t>
  </si>
  <si>
    <t xml:space="preserve"> ₦326,224.57 </t>
  </si>
  <si>
    <t>₦185,995.77</t>
  </si>
  <si>
    <t>T1709</t>
  </si>
  <si>
    <t xml:space="preserve"> ₦393,589.48 </t>
  </si>
  <si>
    <t>₦163,530.97</t>
  </si>
  <si>
    <t>T1710</t>
  </si>
  <si>
    <t>12/01/2026</t>
  </si>
  <si>
    <t xml:space="preserve"> ₦91,607.63 </t>
  </si>
  <si>
    <t>₦54,636.42</t>
  </si>
  <si>
    <t>T1711</t>
  </si>
  <si>
    <t xml:space="preserve"> ₦242,727.19 </t>
  </si>
  <si>
    <t>₦181,236.60</t>
  </si>
  <si>
    <t>T1712</t>
  </si>
  <si>
    <t xml:space="preserve"> ₦226,386.76 </t>
  </si>
  <si>
    <t>₦149,937.70</t>
  </si>
  <si>
    <t>T1713</t>
  </si>
  <si>
    <t xml:space="preserve"> ₦158,921.91 </t>
  </si>
  <si>
    <t>₦146,462.59</t>
  </si>
  <si>
    <t>T1714</t>
  </si>
  <si>
    <t xml:space="preserve"> ₦322,539.76 </t>
  </si>
  <si>
    <t>₦197,210.37</t>
  </si>
  <si>
    <t>T1715</t>
  </si>
  <si>
    <t xml:space="preserve"> ₦128,958.07 </t>
  </si>
  <si>
    <t>₦70,692.52</t>
  </si>
  <si>
    <t>T1716</t>
  </si>
  <si>
    <t xml:space="preserve"> ₦317,725.01 </t>
  </si>
  <si>
    <t>₦301,497.82</t>
  </si>
  <si>
    <t>T1717</t>
  </si>
  <si>
    <t xml:space="preserve"> ₦345,575.36 </t>
  </si>
  <si>
    <t>₦308,447.01</t>
  </si>
  <si>
    <t>T1718</t>
  </si>
  <si>
    <t xml:space="preserve"> ₦93,749.04 </t>
  </si>
  <si>
    <t>₦59,161.99</t>
  </si>
  <si>
    <t>T1719</t>
  </si>
  <si>
    <t xml:space="preserve"> ₦106,252.84 </t>
  </si>
  <si>
    <t>₦83,739.40</t>
  </si>
  <si>
    <t>T1720</t>
  </si>
  <si>
    <t xml:space="preserve"> ₦221,031.46 </t>
  </si>
  <si>
    <t>₦167,866.97</t>
  </si>
  <si>
    <t>T1721</t>
  </si>
  <si>
    <t xml:space="preserve"> ₦179,376.25 </t>
  </si>
  <si>
    <t>₦155,046.98</t>
  </si>
  <si>
    <t>T1722</t>
  </si>
  <si>
    <t xml:space="preserve"> ₦346,220.13 </t>
  </si>
  <si>
    <t>₦187,137.49</t>
  </si>
  <si>
    <t>T1723</t>
  </si>
  <si>
    <t xml:space="preserve"> ₦462,857.16 </t>
  </si>
  <si>
    <t>₦237,853.56</t>
  </si>
  <si>
    <t>T1724</t>
  </si>
  <si>
    <t xml:space="preserve"> ₦219,014.33 </t>
  </si>
  <si>
    <t>₦142,733.00</t>
  </si>
  <si>
    <t>T1725</t>
  </si>
  <si>
    <t xml:space="preserve"> ₦310,833.39 </t>
  </si>
  <si>
    <t>₦127,317.85</t>
  </si>
  <si>
    <t>T1726</t>
  </si>
  <si>
    <t xml:space="preserve"> ₦474,450.23 </t>
  </si>
  <si>
    <t>₦282,879.74</t>
  </si>
  <si>
    <t>T1727</t>
  </si>
  <si>
    <t xml:space="preserve"> ₦449,099.84 </t>
  </si>
  <si>
    <t>₦422,063.06</t>
  </si>
  <si>
    <t>T1728</t>
  </si>
  <si>
    <t xml:space="preserve"> ₦82,322.64 </t>
  </si>
  <si>
    <t>₦58,381.33</t>
  </si>
  <si>
    <t>T1729</t>
  </si>
  <si>
    <t xml:space="preserve"> ₦392,014.58 </t>
  </si>
  <si>
    <t>₦175,670.94</t>
  </si>
  <si>
    <t>T1730</t>
  </si>
  <si>
    <t xml:space="preserve"> ₦168,892.24 </t>
  </si>
  <si>
    <t>₦124,921.02</t>
  </si>
  <si>
    <t>T1731</t>
  </si>
  <si>
    <t>2026-06-23</t>
  </si>
  <si>
    <t xml:space="preserve"> ₦216,131.17 </t>
  </si>
  <si>
    <t>₦147,186.80</t>
  </si>
  <si>
    <t>T1732</t>
  </si>
  <si>
    <t xml:space="preserve"> ₦373,296.35 </t>
  </si>
  <si>
    <t>₦342,221.99</t>
  </si>
  <si>
    <t>T1733</t>
  </si>
  <si>
    <t xml:space="preserve"> ₦156,828.11 </t>
  </si>
  <si>
    <t>₦120,759.31</t>
  </si>
  <si>
    <t>T1734</t>
  </si>
  <si>
    <t xml:space="preserve"> ₦50,512.39 </t>
  </si>
  <si>
    <t>₦40,566.05</t>
  </si>
  <si>
    <t>T1735</t>
  </si>
  <si>
    <t xml:space="preserve"> ₦470,748.25 </t>
  </si>
  <si>
    <t>₦337,865.06</t>
  </si>
  <si>
    <t>T1736</t>
  </si>
  <si>
    <t>25/04/2026</t>
  </si>
  <si>
    <t xml:space="preserve"> ₦102,054.15 </t>
  </si>
  <si>
    <t>₦44,727.10</t>
  </si>
  <si>
    <t>T1737</t>
  </si>
  <si>
    <t>2026-04-06</t>
  </si>
  <si>
    <t xml:space="preserve"> ₦134,567.29 </t>
  </si>
  <si>
    <t>₦69,123.17</t>
  </si>
  <si>
    <t>T1738</t>
  </si>
  <si>
    <t xml:space="preserve"> ₦421,616.34 </t>
  </si>
  <si>
    <t>₦202,201.58</t>
  </si>
  <si>
    <t>T1739</t>
  </si>
  <si>
    <t xml:space="preserve"> ₦341,797.36 </t>
  </si>
  <si>
    <t>₦159,361.81</t>
  </si>
  <si>
    <t>T1740</t>
  </si>
  <si>
    <t xml:space="preserve"> ₦222,418.72 </t>
  </si>
  <si>
    <t>₦147,473.24</t>
  </si>
  <si>
    <t>T1741</t>
  </si>
  <si>
    <t xml:space="preserve"> ₦218,986.69 </t>
  </si>
  <si>
    <t>₦167,575.24</t>
  </si>
  <si>
    <t>T1742</t>
  </si>
  <si>
    <t xml:space="preserve"> ₦327,229.01 </t>
  </si>
  <si>
    <t>₦168,495.43</t>
  </si>
  <si>
    <t>T1743</t>
  </si>
  <si>
    <t xml:space="preserve"> ₦82,179.33 </t>
  </si>
  <si>
    <t>₦75,651.77</t>
  </si>
  <si>
    <t>T1744</t>
  </si>
  <si>
    <t xml:space="preserve"> ₦206,335.87 </t>
  </si>
  <si>
    <t>₦164,467.52</t>
  </si>
  <si>
    <t>T1745</t>
  </si>
  <si>
    <t xml:space="preserve"> ₦262,388.56 </t>
  </si>
  <si>
    <t>₦232,620.26</t>
  </si>
  <si>
    <t>T1746</t>
  </si>
  <si>
    <t>27/03/2026</t>
  </si>
  <si>
    <t xml:space="preserve"> ₦211,529.47 </t>
  </si>
  <si>
    <t>₦124,719.64</t>
  </si>
  <si>
    <t>T1747</t>
  </si>
  <si>
    <t xml:space="preserve"> ₦103,492.21 </t>
  </si>
  <si>
    <t>₦41,933.72</t>
  </si>
  <si>
    <t>T1748</t>
  </si>
  <si>
    <t xml:space="preserve"> ₦422,103.76 </t>
  </si>
  <si>
    <t>₦394,289.15</t>
  </si>
  <si>
    <t>T1749</t>
  </si>
  <si>
    <t xml:space="preserve"> ₦469,716.24 </t>
  </si>
  <si>
    <t>₦405,347.51</t>
  </si>
  <si>
    <t>T1750</t>
  </si>
  <si>
    <t xml:space="preserve"> ₦261,386.13 </t>
  </si>
  <si>
    <t>₦187,767.13</t>
  </si>
  <si>
    <t>T1751</t>
  </si>
  <si>
    <t>2026-06-01</t>
  </si>
  <si>
    <t xml:space="preserve"> ₦184,270.57 </t>
  </si>
  <si>
    <t>₦78,710.70</t>
  </si>
  <si>
    <t>T1752</t>
  </si>
  <si>
    <t xml:space="preserve"> ₦64,342.91 </t>
  </si>
  <si>
    <t>₦33,787.88</t>
  </si>
  <si>
    <t>T1753</t>
  </si>
  <si>
    <t xml:space="preserve"> ₦239,791.00 </t>
  </si>
  <si>
    <t>₦117,983.31</t>
  </si>
  <si>
    <t>T1754</t>
  </si>
  <si>
    <t xml:space="preserve"> ₦294,337.99 </t>
  </si>
  <si>
    <t>₦255,596.85</t>
  </si>
  <si>
    <t>T1755</t>
  </si>
  <si>
    <t xml:space="preserve"> ₦62,962.57 </t>
  </si>
  <si>
    <t>₦48,139.54</t>
  </si>
  <si>
    <t>T1756</t>
  </si>
  <si>
    <t xml:space="preserve"> ₦456,521.08 </t>
  </si>
  <si>
    <t>₦338,292.45</t>
  </si>
  <si>
    <t>T1757</t>
  </si>
  <si>
    <t>07/03/2026</t>
  </si>
  <si>
    <t xml:space="preserve"> ₦263,336.49 </t>
  </si>
  <si>
    <t>₦136,663.18</t>
  </si>
  <si>
    <t>T1758</t>
  </si>
  <si>
    <t xml:space="preserve"> ₦318,442.16 </t>
  </si>
  <si>
    <t>₦248,633.02</t>
  </si>
  <si>
    <t>T1759</t>
  </si>
  <si>
    <t xml:space="preserve"> ₦250,877.10 </t>
  </si>
  <si>
    <t>₦121,004.41</t>
  </si>
  <si>
    <t>T1760</t>
  </si>
  <si>
    <t xml:space="preserve"> ₦421,542.05 </t>
  </si>
  <si>
    <t>₦366,350.89</t>
  </si>
  <si>
    <t>T1761</t>
  </si>
  <si>
    <t xml:space="preserve"> ₦181,994.62 </t>
  </si>
  <si>
    <t>₦116,448.73</t>
  </si>
  <si>
    <t>T1762</t>
  </si>
  <si>
    <t xml:space="preserve"> ₦127,585.93 </t>
  </si>
  <si>
    <t>₦66,793.46</t>
  </si>
  <si>
    <t>T1763</t>
  </si>
  <si>
    <t xml:space="preserve"> ₦160,703.62 </t>
  </si>
  <si>
    <t>₦105,986.20</t>
  </si>
  <si>
    <t>T1764</t>
  </si>
  <si>
    <t xml:space="preserve"> ₦225,050.52 </t>
  </si>
  <si>
    <t>₦190,640.70</t>
  </si>
  <si>
    <t>T1765</t>
  </si>
  <si>
    <t xml:space="preserve"> ₦400,981.67 </t>
  </si>
  <si>
    <t>₦164,794.05</t>
  </si>
  <si>
    <t>T1766</t>
  </si>
  <si>
    <t xml:space="preserve"> ₦459,907.93 </t>
  </si>
  <si>
    <t>₦386,756.26</t>
  </si>
  <si>
    <t>T1767</t>
  </si>
  <si>
    <t xml:space="preserve"> ₦400,641.33 </t>
  </si>
  <si>
    <t>₦344,851.77</t>
  </si>
  <si>
    <t>T1768</t>
  </si>
  <si>
    <t xml:space="preserve"> ₦440,063.23 </t>
  </si>
  <si>
    <t>₦319,039.75</t>
  </si>
  <si>
    <t>T1769</t>
  </si>
  <si>
    <t xml:space="preserve"> ₦347,994.56 </t>
  </si>
  <si>
    <t>₦202,388.31</t>
  </si>
  <si>
    <t>T1770</t>
  </si>
  <si>
    <t xml:space="preserve"> ₦348,145.20 </t>
  </si>
  <si>
    <t>₦140,062.45</t>
  </si>
  <si>
    <t>T1771</t>
  </si>
  <si>
    <t xml:space="preserve"> ₦53,455.38 </t>
  </si>
  <si>
    <t>₦42,036.51</t>
  </si>
  <si>
    <t>T1772</t>
  </si>
  <si>
    <t xml:space="preserve"> ₦193,954.19 </t>
  </si>
  <si>
    <t>₦150,502.53</t>
  </si>
  <si>
    <t>T1773</t>
  </si>
  <si>
    <t xml:space="preserve"> ₦299,020.60 </t>
  </si>
  <si>
    <t>₦210,950.32</t>
  </si>
  <si>
    <t>T1774</t>
  </si>
  <si>
    <t xml:space="preserve"> ₦205,735.68 </t>
  </si>
  <si>
    <t>₦107,455.82</t>
  </si>
  <si>
    <t>T1775</t>
  </si>
  <si>
    <t xml:space="preserve"> ₦58,225.72 </t>
  </si>
  <si>
    <t>₦49,580.87</t>
  </si>
  <si>
    <t>T1776</t>
  </si>
  <si>
    <t xml:space="preserve"> ₦187,625.06 </t>
  </si>
  <si>
    <t>₦164,267.45</t>
  </si>
  <si>
    <t>T1777</t>
  </si>
  <si>
    <t xml:space="preserve"> ₦243,059.29 </t>
  </si>
  <si>
    <t>₦172,719.50</t>
  </si>
  <si>
    <t>T1778</t>
  </si>
  <si>
    <t xml:space="preserve"> ₦173,362.95 </t>
  </si>
  <si>
    <t>₦102,747.70</t>
  </si>
  <si>
    <t>T1779</t>
  </si>
  <si>
    <t xml:space="preserve"> ₦387,196.27 </t>
  </si>
  <si>
    <t>₦245,384.79</t>
  </si>
  <si>
    <t>T1780</t>
  </si>
  <si>
    <t xml:space="preserve"> ₦151,725.77 </t>
  </si>
  <si>
    <t>₦101,442.07</t>
  </si>
  <si>
    <t>T1781</t>
  </si>
  <si>
    <t xml:space="preserve"> ₦94,852.44 </t>
  </si>
  <si>
    <t>₦43,172.88</t>
  </si>
  <si>
    <t>T1782</t>
  </si>
  <si>
    <t xml:space="preserve"> ₦243,088.87 </t>
  </si>
  <si>
    <t>₦136,033.61</t>
  </si>
  <si>
    <t>T1783</t>
  </si>
  <si>
    <t xml:space="preserve"> ₦290,918.64 </t>
  </si>
  <si>
    <t>₦270,452.97</t>
  </si>
  <si>
    <t>T1784</t>
  </si>
  <si>
    <t xml:space="preserve"> ₦125,191.20 </t>
  </si>
  <si>
    <t>₦68,542.98</t>
  </si>
  <si>
    <t>T1785</t>
  </si>
  <si>
    <t xml:space="preserve"> ₦377,339.01 </t>
  </si>
  <si>
    <t>₦176,906.23</t>
  </si>
  <si>
    <t>T1786</t>
  </si>
  <si>
    <t xml:space="preserve"> ₦196,838.45 </t>
  </si>
  <si>
    <t>₦170,216.12</t>
  </si>
  <si>
    <t>T1787</t>
  </si>
  <si>
    <t xml:space="preserve"> ₦182,750.92 </t>
  </si>
  <si>
    <t>₦81,233.86</t>
  </si>
  <si>
    <t>T1788</t>
  </si>
  <si>
    <t>2026-05-27</t>
  </si>
  <si>
    <t xml:space="preserve"> ₦365,794.45 </t>
  </si>
  <si>
    <t>₦307,482.03</t>
  </si>
  <si>
    <t>T1789</t>
  </si>
  <si>
    <t xml:space="preserve"> ₦359,649.62 </t>
  </si>
  <si>
    <t>₦180,384.19</t>
  </si>
  <si>
    <t>T1790</t>
  </si>
  <si>
    <t>08/03/2026</t>
  </si>
  <si>
    <t xml:space="preserve"> ₦318,212.87 </t>
  </si>
  <si>
    <t>₦232,483.80</t>
  </si>
  <si>
    <t>T1791</t>
  </si>
  <si>
    <t xml:space="preserve"> ₦307,601.98 </t>
  </si>
  <si>
    <t>₦168,729.98</t>
  </si>
  <si>
    <t>T1792</t>
  </si>
  <si>
    <t xml:space="preserve"> ₦253,332.01 </t>
  </si>
  <si>
    <t>₦227,899.23</t>
  </si>
  <si>
    <t>T1793</t>
  </si>
  <si>
    <t>2026-05-16</t>
  </si>
  <si>
    <t xml:space="preserve"> ₦62,710.01 </t>
  </si>
  <si>
    <t>₦39,693.62</t>
  </si>
  <si>
    <t>T1794</t>
  </si>
  <si>
    <t xml:space="preserve"> ₦310,359.53 </t>
  </si>
  <si>
    <t>₦264,519.77</t>
  </si>
  <si>
    <t>T1795</t>
  </si>
  <si>
    <t xml:space="preserve"> ₦261,442.16 </t>
  </si>
  <si>
    <t>₦172,014.21</t>
  </si>
  <si>
    <t>T1796</t>
  </si>
  <si>
    <t xml:space="preserve"> ₦306,735.53 </t>
  </si>
  <si>
    <t>₦251,000.57</t>
  </si>
  <si>
    <t>T1797</t>
  </si>
  <si>
    <t xml:space="preserve"> ₦407,354.98 </t>
  </si>
  <si>
    <t>₦316,633.22</t>
  </si>
  <si>
    <t>T1798</t>
  </si>
  <si>
    <t xml:space="preserve"> ₦373,265.62 </t>
  </si>
  <si>
    <t>₦212,606.07</t>
  </si>
  <si>
    <t>T1799</t>
  </si>
  <si>
    <t xml:space="preserve"> ₦127,792.61 </t>
  </si>
  <si>
    <t>₦71,991.88</t>
  </si>
  <si>
    <t>T1800</t>
  </si>
  <si>
    <t xml:space="preserve"> ₦158,085.36 </t>
  </si>
  <si>
    <t>₦112,745.82</t>
  </si>
  <si>
    <t>T1801</t>
  </si>
  <si>
    <t>2026-04-25</t>
  </si>
  <si>
    <t xml:space="preserve"> ₦205,244.96 </t>
  </si>
  <si>
    <t>₦86,890.88</t>
  </si>
  <si>
    <t>T1802</t>
  </si>
  <si>
    <t xml:space="preserve"> ₦275,552.04 </t>
  </si>
  <si>
    <t>₦260,773.38</t>
  </si>
  <si>
    <t>T1803</t>
  </si>
  <si>
    <t xml:space="preserve"> ₦182,292.97 </t>
  </si>
  <si>
    <t>₦133,910.21</t>
  </si>
  <si>
    <t>T1804</t>
  </si>
  <si>
    <t xml:space="preserve"> ₦194,508.71 </t>
  </si>
  <si>
    <t>₦96,345.16</t>
  </si>
  <si>
    <t>T1805</t>
  </si>
  <si>
    <t xml:space="preserve"> ₦184,165.71 </t>
  </si>
  <si>
    <t>₦100,497.69</t>
  </si>
  <si>
    <t>T1806</t>
  </si>
  <si>
    <t xml:space="preserve"> ₦362,890.13 </t>
  </si>
  <si>
    <t>₦162,867.13</t>
  </si>
  <si>
    <t>T1807</t>
  </si>
  <si>
    <t xml:space="preserve"> ₦183,226.56 </t>
  </si>
  <si>
    <t>₦168,862.39</t>
  </si>
  <si>
    <t>T1808</t>
  </si>
  <si>
    <t xml:space="preserve"> ₦418,795.63 </t>
  </si>
  <si>
    <t>₦260,199.34</t>
  </si>
  <si>
    <t>T1809</t>
  </si>
  <si>
    <t xml:space="preserve"> ₦137,128.26 </t>
  </si>
  <si>
    <t>₦119,675.84</t>
  </si>
  <si>
    <t>T1810</t>
  </si>
  <si>
    <t xml:space="preserve"> ₦381,458.98 </t>
  </si>
  <si>
    <t>₦215,739.90</t>
  </si>
  <si>
    <t>T1811</t>
  </si>
  <si>
    <t xml:space="preserve"> ₦385,711.18 </t>
  </si>
  <si>
    <t>₦311,740.70</t>
  </si>
  <si>
    <t>T1812</t>
  </si>
  <si>
    <t xml:space="preserve"> ₦417,097.24 </t>
  </si>
  <si>
    <t>₦325,474.22</t>
  </si>
  <si>
    <t>T1813</t>
  </si>
  <si>
    <t xml:space="preserve"> ₦474,634.89 </t>
  </si>
  <si>
    <t>₦428,950.36</t>
  </si>
  <si>
    <t>T1814</t>
  </si>
  <si>
    <t xml:space="preserve"> ₦461,716.14 </t>
  </si>
  <si>
    <t>₦334,024.58</t>
  </si>
  <si>
    <t>T1815</t>
  </si>
  <si>
    <t>2026-02-06</t>
  </si>
  <si>
    <t xml:space="preserve"> ₦296,361.81 </t>
  </si>
  <si>
    <t>₦167,023.46</t>
  </si>
  <si>
    <t>T1816</t>
  </si>
  <si>
    <t xml:space="preserve"> ₦81,635.76 </t>
  </si>
  <si>
    <t>₦38,342.93</t>
  </si>
  <si>
    <t>T1817</t>
  </si>
  <si>
    <t xml:space="preserve"> ₦458,147.42 </t>
  </si>
  <si>
    <t>₦396,750.93</t>
  </si>
  <si>
    <t>T1818</t>
  </si>
  <si>
    <t>30/04/2026</t>
  </si>
  <si>
    <t xml:space="preserve"> ₦52,309.56 </t>
  </si>
  <si>
    <t>₦25,786.67</t>
  </si>
  <si>
    <t>T1819</t>
  </si>
  <si>
    <t xml:space="preserve"> ₦372,912.35 </t>
  </si>
  <si>
    <t>₦271,042.34</t>
  </si>
  <si>
    <t>T1820</t>
  </si>
  <si>
    <t xml:space="preserve"> ₦494,339.61 </t>
  </si>
  <si>
    <t>₦198,273.46</t>
  </si>
  <si>
    <t>T1821</t>
  </si>
  <si>
    <t xml:space="preserve"> ₦135,453.73 </t>
  </si>
  <si>
    <t>₦110,121.87</t>
  </si>
  <si>
    <t>T1822</t>
  </si>
  <si>
    <t xml:space="preserve"> ₦476,773.06 </t>
  </si>
  <si>
    <t>₦200,071.69</t>
  </si>
  <si>
    <t>T1823</t>
  </si>
  <si>
    <t xml:space="preserve"> ₦429,014.35 </t>
  </si>
  <si>
    <t>₦317,788.13</t>
  </si>
  <si>
    <t>T1824</t>
  </si>
  <si>
    <t xml:space="preserve"> ₦220,370.08 </t>
  </si>
  <si>
    <t>₦168,268.55</t>
  </si>
  <si>
    <t>T1825</t>
  </si>
  <si>
    <t xml:space="preserve"> ₦242,399.67 </t>
  </si>
  <si>
    <t>₦162,746.49</t>
  </si>
  <si>
    <t>T1826</t>
  </si>
  <si>
    <t xml:space="preserve"> ₦410,444.04 </t>
  </si>
  <si>
    <t>₦260,434.54</t>
  </si>
  <si>
    <t>T1827</t>
  </si>
  <si>
    <t xml:space="preserve"> ₦361,666.51 </t>
  </si>
  <si>
    <t>₦187,450.22</t>
  </si>
  <si>
    <t>T1828</t>
  </si>
  <si>
    <t xml:space="preserve"> ₦102,974.00 </t>
  </si>
  <si>
    <t>₦59,976.50</t>
  </si>
  <si>
    <t>T1829</t>
  </si>
  <si>
    <t xml:space="preserve"> ₦203,258.81 </t>
  </si>
  <si>
    <t>₦159,907.94</t>
  </si>
  <si>
    <t>T1830</t>
  </si>
  <si>
    <t xml:space="preserve"> ₦52,634.88 </t>
  </si>
  <si>
    <t>₦45,276.49</t>
  </si>
  <si>
    <t>T1831</t>
  </si>
  <si>
    <t>25/02/2026</t>
  </si>
  <si>
    <t xml:space="preserve"> ₦253,933.05 </t>
  </si>
  <si>
    <t>₦101,905.65</t>
  </si>
  <si>
    <t>T1832</t>
  </si>
  <si>
    <t xml:space="preserve"> ₦343,867.05 </t>
  </si>
  <si>
    <t>₦141,526.51</t>
  </si>
  <si>
    <t>T1833</t>
  </si>
  <si>
    <t xml:space="preserve"> ₦449,347.03 </t>
  </si>
  <si>
    <t>₦399,044.95</t>
  </si>
  <si>
    <t>T1834</t>
  </si>
  <si>
    <t xml:space="preserve"> ₦318,987.28 </t>
  </si>
  <si>
    <t>₦291,411.14</t>
  </si>
  <si>
    <t>T1835</t>
  </si>
  <si>
    <t xml:space="preserve"> ₦308,377.65 </t>
  </si>
  <si>
    <t>₦289,128.34</t>
  </si>
  <si>
    <t>T1836</t>
  </si>
  <si>
    <t xml:space="preserve"> ₦224,801.11 </t>
  </si>
  <si>
    <t>₦204,507.74</t>
  </si>
  <si>
    <t>T1837</t>
  </si>
  <si>
    <t xml:space="preserve"> ₦375,440.73 </t>
  </si>
  <si>
    <t>₦343,754.02</t>
  </si>
  <si>
    <t>T1838</t>
  </si>
  <si>
    <t xml:space="preserve"> ₦330,008.24 </t>
  </si>
  <si>
    <t>₦284,560.25</t>
  </si>
  <si>
    <t>T1839</t>
  </si>
  <si>
    <t xml:space="preserve"> ₦404,058.25 </t>
  </si>
  <si>
    <t>₦187,755.99</t>
  </si>
  <si>
    <t>T1840</t>
  </si>
  <si>
    <t xml:space="preserve"> ₦344,742.02 </t>
  </si>
  <si>
    <t>₦208,222.57</t>
  </si>
  <si>
    <t>T1841</t>
  </si>
  <si>
    <t xml:space="preserve"> ₦291,480.78 </t>
  </si>
  <si>
    <t>₦219,789.79</t>
  </si>
  <si>
    <t>T1842</t>
  </si>
  <si>
    <t xml:space="preserve"> ₦156,077.68 </t>
  </si>
  <si>
    <t>₦121,115.30</t>
  </si>
  <si>
    <t>T1843</t>
  </si>
  <si>
    <t>16/01/2026</t>
  </si>
  <si>
    <t xml:space="preserve"> ₦346,210.33 </t>
  </si>
  <si>
    <t>₦202,822.00</t>
  </si>
  <si>
    <t>T1844</t>
  </si>
  <si>
    <t xml:space="preserve"> ₦110,016.08 </t>
  </si>
  <si>
    <t>₦59,910.81</t>
  </si>
  <si>
    <t>T1845</t>
  </si>
  <si>
    <t xml:space="preserve"> ₦486,449.02 </t>
  </si>
  <si>
    <t>₦235,047.42</t>
  </si>
  <si>
    <t>T1846</t>
  </si>
  <si>
    <t xml:space="preserve"> ₦173,708.32 </t>
  </si>
  <si>
    <t>₦137,268.97</t>
  </si>
  <si>
    <t>T1847</t>
  </si>
  <si>
    <t>2026-02-13</t>
  </si>
  <si>
    <t xml:space="preserve"> ₦86,824.18 </t>
  </si>
  <si>
    <t>₦61,833.35</t>
  </si>
  <si>
    <t>T1848</t>
  </si>
  <si>
    <t xml:space="preserve"> ₦236,687.89 </t>
  </si>
  <si>
    <t>₦169,963.89</t>
  </si>
  <si>
    <t>T1849</t>
  </si>
  <si>
    <t xml:space="preserve"> ₦412,149.01 </t>
  </si>
  <si>
    <t>₦177,993.34</t>
  </si>
  <si>
    <t>T1850</t>
  </si>
  <si>
    <t xml:space="preserve"> ₦117,167.82 </t>
  </si>
  <si>
    <t>₦59,967.01</t>
  </si>
  <si>
    <t>T1851</t>
  </si>
  <si>
    <t xml:space="preserve"> ₦188,137.13 </t>
  </si>
  <si>
    <t>₦156,180.07</t>
  </si>
  <si>
    <t>T1852</t>
  </si>
  <si>
    <t xml:space="preserve"> ₦141,121.22 </t>
  </si>
  <si>
    <t>₦65,233.95</t>
  </si>
  <si>
    <t>T1853</t>
  </si>
  <si>
    <t xml:space="preserve"> ₦316,365.27 </t>
  </si>
  <si>
    <t>₦182,006.81</t>
  </si>
  <si>
    <t>T1854</t>
  </si>
  <si>
    <t xml:space="preserve"> ₦154,511.58 </t>
  </si>
  <si>
    <t>₦99,091.43</t>
  </si>
  <si>
    <t>T1855</t>
  </si>
  <si>
    <t xml:space="preserve"> ₦56,314.07 </t>
  </si>
  <si>
    <t>₦43,097.32</t>
  </si>
  <si>
    <t>T1856</t>
  </si>
  <si>
    <t xml:space="preserve"> ₦83,814.30 </t>
  </si>
  <si>
    <t>₦58,402.59</t>
  </si>
  <si>
    <t>T1857</t>
  </si>
  <si>
    <t xml:space="preserve"> ₦70,818.27 </t>
  </si>
  <si>
    <t>₦63,959.75</t>
  </si>
  <si>
    <t>T1858</t>
  </si>
  <si>
    <t>2026-04-26</t>
  </si>
  <si>
    <t xml:space="preserve"> ₦381,830.00 </t>
  </si>
  <si>
    <t>₦336,144.09</t>
  </si>
  <si>
    <t>T1859</t>
  </si>
  <si>
    <t xml:space="preserve"> ₦328,293.74 </t>
  </si>
  <si>
    <t>₦237,669.20</t>
  </si>
  <si>
    <t>T1860</t>
  </si>
  <si>
    <t xml:space="preserve"> ₦370,621.36 </t>
  </si>
  <si>
    <t>₦346,731.95</t>
  </si>
  <si>
    <t>T1861</t>
  </si>
  <si>
    <t xml:space="preserve"> ₦81,715.36 </t>
  </si>
  <si>
    <t>₦59,354.77</t>
  </si>
  <si>
    <t>T1862</t>
  </si>
  <si>
    <t xml:space="preserve"> ₦413,689.94 </t>
  </si>
  <si>
    <t>₦361,627.43</t>
  </si>
  <si>
    <t>T1863</t>
  </si>
  <si>
    <t xml:space="preserve"> ₦143,584.91 </t>
  </si>
  <si>
    <t>₦69,885.67</t>
  </si>
  <si>
    <t>T1864</t>
  </si>
  <si>
    <t xml:space="preserve"> ₦96,109.24 </t>
  </si>
  <si>
    <t>₦47,632.67</t>
  </si>
  <si>
    <t>T1865</t>
  </si>
  <si>
    <t xml:space="preserve"> ₦385,568.02 </t>
  </si>
  <si>
    <t>₦192,622.00</t>
  </si>
  <si>
    <t>T1866</t>
  </si>
  <si>
    <t xml:space="preserve"> ₦308,381.24 </t>
  </si>
  <si>
    <t>₦165,434.32</t>
  </si>
  <si>
    <t>T1867</t>
  </si>
  <si>
    <t xml:space="preserve"> ₦480,883.33 </t>
  </si>
  <si>
    <t>₦227,675.15</t>
  </si>
  <si>
    <t>T1868</t>
  </si>
  <si>
    <t xml:space="preserve"> ₦131,205.63 </t>
  </si>
  <si>
    <t>₦71,990.37</t>
  </si>
  <si>
    <t>T1869</t>
  </si>
  <si>
    <t xml:space="preserve"> ₦130,524.14 </t>
  </si>
  <si>
    <t>₦60,543.26</t>
  </si>
  <si>
    <t>T1870</t>
  </si>
  <si>
    <t xml:space="preserve"> ₦321,778.90 </t>
  </si>
  <si>
    <t>₦207,535.61</t>
  </si>
  <si>
    <t>T1871</t>
  </si>
  <si>
    <t xml:space="preserve"> ₦371,242.76 </t>
  </si>
  <si>
    <t>₦223,661.56</t>
  </si>
  <si>
    <t>T1872</t>
  </si>
  <si>
    <t xml:space="preserve"> ₦337,041.17 </t>
  </si>
  <si>
    <t>₦302,953.23</t>
  </si>
  <si>
    <t>T1873</t>
  </si>
  <si>
    <t xml:space="preserve"> ₦232,932.90 </t>
  </si>
  <si>
    <t>₦191,637.78</t>
  </si>
  <si>
    <t>T1874</t>
  </si>
  <si>
    <t xml:space="preserve"> ₦134,476.01 </t>
  </si>
  <si>
    <t>₦118,344.64</t>
  </si>
  <si>
    <t>T1875</t>
  </si>
  <si>
    <t>2026-04-07</t>
  </si>
  <si>
    <t xml:space="preserve"> ₦117,294.33 </t>
  </si>
  <si>
    <t>₦61,226.78</t>
  </si>
  <si>
    <t>T1876</t>
  </si>
  <si>
    <t xml:space="preserve"> ₦378,496.62 </t>
  </si>
  <si>
    <t>₦214,920.06</t>
  </si>
  <si>
    <t>T1877</t>
  </si>
  <si>
    <t xml:space="preserve"> ₦344,292.40 </t>
  </si>
  <si>
    <t>₦176,871.58</t>
  </si>
  <si>
    <t>T1878</t>
  </si>
  <si>
    <t xml:space="preserve"> ₦228,679.00 </t>
  </si>
  <si>
    <t>₦99,640.16</t>
  </si>
  <si>
    <t>T1879</t>
  </si>
  <si>
    <t xml:space="preserve"> ₦234,340.68 </t>
  </si>
  <si>
    <t>₦128,650.79</t>
  </si>
  <si>
    <t>T1880</t>
  </si>
  <si>
    <t xml:space="preserve"> ₦66,428.69 </t>
  </si>
  <si>
    <t>₦37,755.74</t>
  </si>
  <si>
    <t>T1881</t>
  </si>
  <si>
    <t xml:space="preserve"> ₦80,243.70 </t>
  </si>
  <si>
    <t>₦64,004.52</t>
  </si>
  <si>
    <t>T1882</t>
  </si>
  <si>
    <t xml:space="preserve"> ₦163,235.89 </t>
  </si>
  <si>
    <t>₦139,166.96</t>
  </si>
  <si>
    <t>T1883</t>
  </si>
  <si>
    <t xml:space="preserve"> ₦426,955.53 </t>
  </si>
  <si>
    <t>₦258,808.96</t>
  </si>
  <si>
    <t>T1884</t>
  </si>
  <si>
    <t xml:space="preserve"> ₦85,429.06 </t>
  </si>
  <si>
    <t>₦72,714.25</t>
  </si>
  <si>
    <t>T1885</t>
  </si>
  <si>
    <t xml:space="preserve"> ₦418,915.46 </t>
  </si>
  <si>
    <t>₦379,445.53</t>
  </si>
  <si>
    <t>T1886</t>
  </si>
  <si>
    <t xml:space="preserve"> ₦209,041.82 </t>
  </si>
  <si>
    <t>₦169,683.08</t>
  </si>
  <si>
    <t>T1887</t>
  </si>
  <si>
    <t xml:space="preserve"> ₦115,733.77 </t>
  </si>
  <si>
    <t>₦63,360.10</t>
  </si>
  <si>
    <t>T1888</t>
  </si>
  <si>
    <t xml:space="preserve"> ₦186,367.94 </t>
  </si>
  <si>
    <t>₦84,943.59</t>
  </si>
  <si>
    <t>T1889</t>
  </si>
  <si>
    <t xml:space="preserve"> ₦193,319.68 </t>
  </si>
  <si>
    <t>₦94,871.63</t>
  </si>
  <si>
    <t>T1890</t>
  </si>
  <si>
    <t xml:space="preserve"> ₦94,197.64 </t>
  </si>
  <si>
    <t>₦88,292.95</t>
  </si>
  <si>
    <t>T1891</t>
  </si>
  <si>
    <t xml:space="preserve"> ₦381,185.66 </t>
  </si>
  <si>
    <t>₦207,117.20</t>
  </si>
  <si>
    <t>T1892</t>
  </si>
  <si>
    <t xml:space="preserve"> ₦267,926.00 </t>
  </si>
  <si>
    <t>₦120,744.00</t>
  </si>
  <si>
    <t>T1893</t>
  </si>
  <si>
    <t xml:space="preserve"> ₦369,195.91 </t>
  </si>
  <si>
    <t>₦216,363.33</t>
  </si>
  <si>
    <t>T1894</t>
  </si>
  <si>
    <t xml:space="preserve"> ₦182,479.67 </t>
  </si>
  <si>
    <t>₦122,558.04</t>
  </si>
  <si>
    <t>T1895</t>
  </si>
  <si>
    <t xml:space="preserve"> ₦106,525.14 </t>
  </si>
  <si>
    <t>₦69,178.46</t>
  </si>
  <si>
    <t>T1896</t>
  </si>
  <si>
    <t xml:space="preserve"> ₦346,928.08 </t>
  </si>
  <si>
    <t>₦308,194.07</t>
  </si>
  <si>
    <t>T1897</t>
  </si>
  <si>
    <t xml:space="preserve"> ₦404,204.26 </t>
  </si>
  <si>
    <t>₦217,579.83</t>
  </si>
  <si>
    <t>T1898</t>
  </si>
  <si>
    <t>2026-04-13</t>
  </si>
  <si>
    <t xml:space="preserve"> ₦233,516.42 </t>
  </si>
  <si>
    <t>₦141,580.84</t>
  </si>
  <si>
    <t>T1899</t>
  </si>
  <si>
    <t xml:space="preserve"> ₦202,640.32 </t>
  </si>
  <si>
    <t>₦188,303.89</t>
  </si>
  <si>
    <t>T1900</t>
  </si>
  <si>
    <t xml:space="preserve"> ₦92,863.58 </t>
  </si>
  <si>
    <t>₦73,785.02</t>
  </si>
  <si>
    <t>T1901</t>
  </si>
  <si>
    <t xml:space="preserve"> ₦215,417.17 </t>
  </si>
  <si>
    <t>₦122,766.27</t>
  </si>
  <si>
    <t>T1902</t>
  </si>
  <si>
    <t xml:space="preserve"> ₦55,381.43 </t>
  </si>
  <si>
    <t>₦29,978.52</t>
  </si>
  <si>
    <t>T1903</t>
  </si>
  <si>
    <t xml:space="preserve"> ₦341,677.83 </t>
  </si>
  <si>
    <t>₦313,253.83</t>
  </si>
  <si>
    <t>T1904</t>
  </si>
  <si>
    <t xml:space="preserve"> ₦241,362.13 </t>
  </si>
  <si>
    <t>₦175,167.11</t>
  </si>
  <si>
    <t>T1905</t>
  </si>
  <si>
    <t xml:space="preserve"> ₦418,917.43 </t>
  </si>
  <si>
    <t>₦243,350.80</t>
  </si>
  <si>
    <t>T1906</t>
  </si>
  <si>
    <t xml:space="preserve"> ₦230,069.67 </t>
  </si>
  <si>
    <t>₦183,689.84</t>
  </si>
  <si>
    <t>T1907</t>
  </si>
  <si>
    <t xml:space="preserve"> ₦98,159.42 </t>
  </si>
  <si>
    <t>₦61,058.93</t>
  </si>
  <si>
    <t>T1908</t>
  </si>
  <si>
    <t xml:space="preserve"> ₦88,323.07 </t>
  </si>
  <si>
    <t>₦74,842.77</t>
  </si>
  <si>
    <t>T1909</t>
  </si>
  <si>
    <t xml:space="preserve"> ₦447,613.08 </t>
  </si>
  <si>
    <t>₦404,632.93</t>
  </si>
  <si>
    <t>T1910</t>
  </si>
  <si>
    <t xml:space="preserve"> ₦100,445.72 </t>
  </si>
  <si>
    <t>₦89,620.36</t>
  </si>
  <si>
    <t>T1911</t>
  </si>
  <si>
    <t xml:space="preserve"> ₦198,165.12 </t>
  </si>
  <si>
    <t>₦177,111.62</t>
  </si>
  <si>
    <t>T1912</t>
  </si>
  <si>
    <t>2026-03-29</t>
  </si>
  <si>
    <t xml:space="preserve"> ₦242,380.63 </t>
  </si>
  <si>
    <t>₦129,617.75</t>
  </si>
  <si>
    <t>T1913</t>
  </si>
  <si>
    <t xml:space="preserve"> ₦92,389.02 </t>
  </si>
  <si>
    <t>₦46,625.18</t>
  </si>
  <si>
    <t>T1914</t>
  </si>
  <si>
    <t xml:space="preserve"> ₦172,775.81 </t>
  </si>
  <si>
    <t>₦118,659.94</t>
  </si>
  <si>
    <t>T1915</t>
  </si>
  <si>
    <t xml:space="preserve"> ₦225,301.95 </t>
  </si>
  <si>
    <t>₦98,677.19</t>
  </si>
  <si>
    <t>T1916</t>
  </si>
  <si>
    <t xml:space="preserve"> ₦169,599.30 </t>
  </si>
  <si>
    <t>₦125,961.16</t>
  </si>
  <si>
    <t>T1917</t>
  </si>
  <si>
    <t xml:space="preserve"> ₦449,982.22 </t>
  </si>
  <si>
    <t>₦219,560.63</t>
  </si>
  <si>
    <t>T1918</t>
  </si>
  <si>
    <t xml:space="preserve"> ₦490,314.40 </t>
  </si>
  <si>
    <t>₦353,621.94</t>
  </si>
  <si>
    <t>T1919</t>
  </si>
  <si>
    <t xml:space="preserve"> ₦330,078.25 </t>
  </si>
  <si>
    <t>₦165,875.07</t>
  </si>
  <si>
    <t>T1920</t>
  </si>
  <si>
    <t xml:space="preserve"> ₦77,166.94 </t>
  </si>
  <si>
    <t>₦56,912.05</t>
  </si>
  <si>
    <t>T1921</t>
  </si>
  <si>
    <t xml:space="preserve"> ₦135,469.19 </t>
  </si>
  <si>
    <t>₦97,888.02</t>
  </si>
  <si>
    <t>T1922</t>
  </si>
  <si>
    <t xml:space="preserve"> ₦317,164.58 </t>
  </si>
  <si>
    <t>₦140,902.08</t>
  </si>
  <si>
    <t>T1923</t>
  </si>
  <si>
    <t xml:space="preserve"> ₦451,794.41 </t>
  </si>
  <si>
    <t>₦189,026.72</t>
  </si>
  <si>
    <t>T1924</t>
  </si>
  <si>
    <t xml:space="preserve"> ₦472,596.67 </t>
  </si>
  <si>
    <t>₦341,951.83</t>
  </si>
  <si>
    <t>T1925</t>
  </si>
  <si>
    <t>2026-02-17</t>
  </si>
  <si>
    <t xml:space="preserve"> ₦271,782.72 </t>
  </si>
  <si>
    <t>₦168,812.97</t>
  </si>
  <si>
    <t>T1926</t>
  </si>
  <si>
    <t xml:space="preserve"> ₦142,212.48 </t>
  </si>
  <si>
    <t>₦111,995.48</t>
  </si>
  <si>
    <t>T1927</t>
  </si>
  <si>
    <t xml:space="preserve"> ₦337,754.85 </t>
  </si>
  <si>
    <t>₦232,321.58</t>
  </si>
  <si>
    <t>T1928</t>
  </si>
  <si>
    <t xml:space="preserve"> ₦469,618.03 </t>
  </si>
  <si>
    <t>₦230,109.28</t>
  </si>
  <si>
    <t>T1929</t>
  </si>
  <si>
    <t xml:space="preserve"> ₦211,299.04 </t>
  </si>
  <si>
    <t>₦154,359.25</t>
  </si>
  <si>
    <t>T1930</t>
  </si>
  <si>
    <t xml:space="preserve"> ₦53,497.20 </t>
  </si>
  <si>
    <t>₦29,127.98</t>
  </si>
  <si>
    <t>T1931</t>
  </si>
  <si>
    <t>01/05/2026</t>
  </si>
  <si>
    <t xml:space="preserve"> ₦375,861.47 </t>
  </si>
  <si>
    <t>₦174,755.50</t>
  </si>
  <si>
    <t>T1932</t>
  </si>
  <si>
    <t xml:space="preserve"> ₦346,184.57 </t>
  </si>
  <si>
    <t>₦309,992.79</t>
  </si>
  <si>
    <t>T1933</t>
  </si>
  <si>
    <t xml:space="preserve"> ₦95,770.08 </t>
  </si>
  <si>
    <t>₦50,497.90</t>
  </si>
  <si>
    <t>T1934</t>
  </si>
  <si>
    <t xml:space="preserve"> ₦290,143.12 </t>
  </si>
  <si>
    <t>₦135,235.76</t>
  </si>
  <si>
    <t>T1935</t>
  </si>
  <si>
    <t xml:space="preserve"> ₦211,479.81 </t>
  </si>
  <si>
    <t>₦139,481.39</t>
  </si>
  <si>
    <t>T1936</t>
  </si>
  <si>
    <t xml:space="preserve"> ₦252,922.10 </t>
  </si>
  <si>
    <t>₦105,450.70</t>
  </si>
  <si>
    <t>T1937</t>
  </si>
  <si>
    <t xml:space="preserve"> ₦153,264.00 </t>
  </si>
  <si>
    <t>₦64,258.83</t>
  </si>
  <si>
    <t>T1938</t>
  </si>
  <si>
    <t xml:space="preserve"> ₦456,475.18 </t>
  </si>
  <si>
    <t>₦320,323.67</t>
  </si>
  <si>
    <t>T1939</t>
  </si>
  <si>
    <t xml:space="preserve"> ₦369,924.41 </t>
  </si>
  <si>
    <t>₦278,356.52</t>
  </si>
  <si>
    <t>T1940</t>
  </si>
  <si>
    <t xml:space="preserve"> ₦301,655.77 </t>
  </si>
  <si>
    <t>₦191,353.93</t>
  </si>
  <si>
    <t>T1941</t>
  </si>
  <si>
    <t xml:space="preserve"> ₦377,174.13 </t>
  </si>
  <si>
    <t>₦341,255.85</t>
  </si>
  <si>
    <t>T1942</t>
  </si>
  <si>
    <t xml:space="preserve"> ₦493,594.58 </t>
  </si>
  <si>
    <t>₦288,612.93</t>
  </si>
  <si>
    <t>T1943</t>
  </si>
  <si>
    <t xml:space="preserve"> ₦109,874.40 </t>
  </si>
  <si>
    <t>₦73,252.33</t>
  </si>
  <si>
    <t>T1944</t>
  </si>
  <si>
    <t xml:space="preserve"> ₦421,006.36 </t>
  </si>
  <si>
    <t>₦176,309.13</t>
  </si>
  <si>
    <t>T1945</t>
  </si>
  <si>
    <t>22/05/2026</t>
  </si>
  <si>
    <t xml:space="preserve"> ₦471,099.89 </t>
  </si>
  <si>
    <t>₦298,839.79</t>
  </si>
  <si>
    <t>T1946</t>
  </si>
  <si>
    <t>27/02/2026</t>
  </si>
  <si>
    <t xml:space="preserve"> ₦400,417.01 </t>
  </si>
  <si>
    <t>₦340,511.55</t>
  </si>
  <si>
    <t>T1947</t>
  </si>
  <si>
    <t xml:space="preserve"> ₦362,559.05 </t>
  </si>
  <si>
    <t>₦195,664.24</t>
  </si>
  <si>
    <t>T1948</t>
  </si>
  <si>
    <t xml:space="preserve"> ₦434,984.69 </t>
  </si>
  <si>
    <t>₦324,830.65</t>
  </si>
  <si>
    <t>T1949</t>
  </si>
  <si>
    <t>10/05/2026</t>
  </si>
  <si>
    <t xml:space="preserve"> ₦246,317.25 </t>
  </si>
  <si>
    <t>₦162,893.42</t>
  </si>
  <si>
    <t>T1950</t>
  </si>
  <si>
    <t xml:space="preserve"> ₦318,111.92 </t>
  </si>
  <si>
    <t>₦281,003.48</t>
  </si>
  <si>
    <t>T1951</t>
  </si>
  <si>
    <t xml:space="preserve"> ₦470,403.31 </t>
  </si>
  <si>
    <t>₦279,458.97</t>
  </si>
  <si>
    <t>T1952</t>
  </si>
  <si>
    <t xml:space="preserve"> ₦392,227.93 </t>
  </si>
  <si>
    <t>₦262,444.06</t>
  </si>
  <si>
    <t>T1953</t>
  </si>
  <si>
    <t>05/06/2026</t>
  </si>
  <si>
    <t xml:space="preserve"> ₦195,727.63 </t>
  </si>
  <si>
    <t>₦92,524.98</t>
  </si>
  <si>
    <t>T1954</t>
  </si>
  <si>
    <t xml:space="preserve"> ₦399,415.05 </t>
  </si>
  <si>
    <t>₦227,756.83</t>
  </si>
  <si>
    <t>T1955</t>
  </si>
  <si>
    <t xml:space="preserve"> ₦184,913.98 </t>
  </si>
  <si>
    <t>₦110,993.97</t>
  </si>
  <si>
    <t>T1956</t>
  </si>
  <si>
    <t xml:space="preserve"> ₦313,518.15 </t>
  </si>
  <si>
    <t>₦128,937.45</t>
  </si>
  <si>
    <t>T1957</t>
  </si>
  <si>
    <t xml:space="preserve"> ₦329,713.08 </t>
  </si>
  <si>
    <t>₦229,891.07</t>
  </si>
  <si>
    <t>T1958</t>
  </si>
  <si>
    <t xml:space="preserve"> ₦376,555.32 </t>
  </si>
  <si>
    <t>₦335,605.44</t>
  </si>
  <si>
    <t>T1959</t>
  </si>
  <si>
    <t xml:space="preserve"> ₦199,211.51 </t>
  </si>
  <si>
    <t>₦82,494.90</t>
  </si>
  <si>
    <t>T1960</t>
  </si>
  <si>
    <t xml:space="preserve"> ₦86,223.37 </t>
  </si>
  <si>
    <t>₦50,219.29</t>
  </si>
  <si>
    <t>T1961</t>
  </si>
  <si>
    <t xml:space="preserve"> ₦98,450.87 </t>
  </si>
  <si>
    <t>₦74,113.73</t>
  </si>
  <si>
    <t>T1962</t>
  </si>
  <si>
    <t xml:space="preserve"> ₦142,093.82 </t>
  </si>
  <si>
    <t>₦69,068.01</t>
  </si>
  <si>
    <t>T1963</t>
  </si>
  <si>
    <t xml:space="preserve"> ₦223,102.83 </t>
  </si>
  <si>
    <t>₦89,740.61</t>
  </si>
  <si>
    <t>T1964</t>
  </si>
  <si>
    <t xml:space="preserve"> ₦486,810.30 </t>
  </si>
  <si>
    <t>₦328,974.54</t>
  </si>
  <si>
    <t>T1965</t>
  </si>
  <si>
    <t xml:space="preserve"> ₦139,531.19 </t>
  </si>
  <si>
    <t>₦69,819.93</t>
  </si>
  <si>
    <t>T1966</t>
  </si>
  <si>
    <t xml:space="preserve"> ₦110,848.38 </t>
  </si>
  <si>
    <t>₦71,369.81</t>
  </si>
  <si>
    <t>T1967</t>
  </si>
  <si>
    <t xml:space="preserve"> ₦119,077.84 </t>
  </si>
  <si>
    <t>₦103,646.28</t>
  </si>
  <si>
    <t>T1968</t>
  </si>
  <si>
    <t xml:space="preserve"> ₦370,681.47 </t>
  </si>
  <si>
    <t>₦174,583.84</t>
  </si>
  <si>
    <t>T1969</t>
  </si>
  <si>
    <t xml:space="preserve"> ₦470,814.97 </t>
  </si>
  <si>
    <t>₦425,259.86</t>
  </si>
  <si>
    <t>T1970</t>
  </si>
  <si>
    <t xml:space="preserve"> ₦274,468.55 </t>
  </si>
  <si>
    <t>₦176,400.90</t>
  </si>
  <si>
    <t>T1971</t>
  </si>
  <si>
    <t xml:space="preserve"> ₦299,586.52 </t>
  </si>
  <si>
    <t>₦216,169.48</t>
  </si>
  <si>
    <t>T1972</t>
  </si>
  <si>
    <t xml:space="preserve"> ₦169,854.17 </t>
  </si>
  <si>
    <t>₦150,329.81</t>
  </si>
  <si>
    <t>T1973</t>
  </si>
  <si>
    <t xml:space="preserve"> ₦225,436.38 </t>
  </si>
  <si>
    <t>₦135,918.98</t>
  </si>
  <si>
    <t>T1974</t>
  </si>
  <si>
    <t xml:space="preserve"> ₦104,310.53 </t>
  </si>
  <si>
    <t>₦44,941.07</t>
  </si>
  <si>
    <t>T1975</t>
  </si>
  <si>
    <t xml:space="preserve"> ₦294,535.25 </t>
  </si>
  <si>
    <t>₦145,317.95</t>
  </si>
  <si>
    <t>T1976</t>
  </si>
  <si>
    <t>2026-03-15</t>
  </si>
  <si>
    <t xml:space="preserve"> ₦134,873.79 </t>
  </si>
  <si>
    <t>₦58,831.93</t>
  </si>
  <si>
    <t>T1977</t>
  </si>
  <si>
    <t xml:space="preserve"> ₦438,189.19 </t>
  </si>
  <si>
    <t>₦255,919.34</t>
  </si>
  <si>
    <t>T1978</t>
  </si>
  <si>
    <t xml:space="preserve"> ₦118,211.70 </t>
  </si>
  <si>
    <t>₦101,720.67</t>
  </si>
  <si>
    <t>T1979</t>
  </si>
  <si>
    <t>15/06/2026</t>
  </si>
  <si>
    <t xml:space="preserve"> ₦359,503.11 </t>
  </si>
  <si>
    <t>₦332,866.93</t>
  </si>
  <si>
    <t>T1980</t>
  </si>
  <si>
    <t xml:space="preserve"> ₦369,168.51 </t>
  </si>
  <si>
    <t>₦190,358.54</t>
  </si>
  <si>
    <t>T1981</t>
  </si>
  <si>
    <t xml:space="preserve"> ₦50,669.53 </t>
  </si>
  <si>
    <t>₦33,236.92</t>
  </si>
  <si>
    <t>T1982</t>
  </si>
  <si>
    <t xml:space="preserve"> ₦381,957.08 </t>
  </si>
  <si>
    <t>₦280,696.38</t>
  </si>
  <si>
    <t>T1983</t>
  </si>
  <si>
    <t xml:space="preserve"> ₦317,810.91 </t>
  </si>
  <si>
    <t>₦286,350.74</t>
  </si>
  <si>
    <t>T1984</t>
  </si>
  <si>
    <t xml:space="preserve"> ₦157,887.48 </t>
  </si>
  <si>
    <t>₦120,666.82</t>
  </si>
  <si>
    <t>T1985</t>
  </si>
  <si>
    <t xml:space="preserve"> ₦198,769.17 </t>
  </si>
  <si>
    <t>₦95,726.85</t>
  </si>
  <si>
    <t>T1986</t>
  </si>
  <si>
    <t xml:space="preserve"> ₦253,106.51 </t>
  </si>
  <si>
    <t>₦158,232.25</t>
  </si>
  <si>
    <t>T1987</t>
  </si>
  <si>
    <t xml:space="preserve"> ₦221,854.94 </t>
  </si>
  <si>
    <t>₦153,742.85</t>
  </si>
  <si>
    <t>T1988</t>
  </si>
  <si>
    <t xml:space="preserve"> ₦369,521.41 </t>
  </si>
  <si>
    <t>₦285,417.97</t>
  </si>
  <si>
    <t>T1989</t>
  </si>
  <si>
    <t xml:space="preserve"> ₦283,247.36 </t>
  </si>
  <si>
    <t>₦199,533.38</t>
  </si>
  <si>
    <t>T1990</t>
  </si>
  <si>
    <t xml:space="preserve"> ₦273,606.64 </t>
  </si>
  <si>
    <t>₦209,604.26</t>
  </si>
  <si>
    <t>T1991</t>
  </si>
  <si>
    <t xml:space="preserve"> ₦103,765.73 </t>
  </si>
  <si>
    <t>₦81,963.78</t>
  </si>
  <si>
    <t>T1992</t>
  </si>
  <si>
    <t>29/04/2026</t>
  </si>
  <si>
    <t xml:space="preserve"> ₦205,207.37 </t>
  </si>
  <si>
    <t>₦189,761.26</t>
  </si>
  <si>
    <t>T1993</t>
  </si>
  <si>
    <t>2026-01-02</t>
  </si>
  <si>
    <t xml:space="preserve"> ₦272,680.24 </t>
  </si>
  <si>
    <t>₦181,706.62</t>
  </si>
  <si>
    <t>T1994</t>
  </si>
  <si>
    <t xml:space="preserve"> ₦137,251.86 </t>
  </si>
  <si>
    <t>₦111,487.76</t>
  </si>
  <si>
    <t>T1995</t>
  </si>
  <si>
    <t xml:space="preserve"> ₦424,213.72 </t>
  </si>
  <si>
    <t>₦388,983.17</t>
  </si>
  <si>
    <t>T1996</t>
  </si>
  <si>
    <t xml:space="preserve"> ₦296,820.94 </t>
  </si>
  <si>
    <t>₦201,142.99</t>
  </si>
  <si>
    <t>T1997</t>
  </si>
  <si>
    <t xml:space="preserve"> ₦389,799.73 </t>
  </si>
  <si>
    <t>₦298,634.27</t>
  </si>
  <si>
    <t>T1998</t>
  </si>
  <si>
    <t xml:space="preserve"> ₦450,428.04 </t>
  </si>
  <si>
    <t>₦301,874.89</t>
  </si>
  <si>
    <t>T1999</t>
  </si>
  <si>
    <t xml:space="preserve"> ₦254,973.64 </t>
  </si>
  <si>
    <t>₦212,824.45</t>
  </si>
  <si>
    <t>T2000</t>
  </si>
  <si>
    <t xml:space="preserve"> ₦269,818.31 </t>
  </si>
  <si>
    <t>₦207,101.09</t>
  </si>
  <si>
    <t>Column1</t>
  </si>
  <si>
    <t>Profit</t>
  </si>
  <si>
    <t>Profit Margin</t>
  </si>
  <si>
    <t>Ibadan</t>
  </si>
  <si>
    <t>Total Revenue</t>
  </si>
  <si>
    <t>Total Expenses</t>
  </si>
  <si>
    <t>Total Profit</t>
  </si>
  <si>
    <t>Avg. Revenue</t>
  </si>
  <si>
    <t>Avg. Expenses</t>
  </si>
  <si>
    <t>Avg. Profit Margin</t>
  </si>
  <si>
    <t>Row Labels</t>
  </si>
  <si>
    <t>Grand Total</t>
  </si>
  <si>
    <t>Jan</t>
  </si>
  <si>
    <t>Feb</t>
  </si>
  <si>
    <t>Mar</t>
  </si>
  <si>
    <t>Apr</t>
  </si>
  <si>
    <t>May</t>
  </si>
  <si>
    <t>Jun</t>
  </si>
  <si>
    <t>Sum of Profit</t>
  </si>
  <si>
    <t>Sum of Revenue</t>
  </si>
  <si>
    <t>Sum of Expenses</t>
  </si>
  <si>
    <t>Financial Performance Dashboard (Jan–Jun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</si>
</sst>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6A]* #,##0.00_-;\-[$₦-46A]* #,##0.00_-;_-[$₦-46A]* &quot;-&quot;??_-;_-@_-"/>
  </numFmts>
  <fonts count="3" x14ac:knownFonts="1">
    <font>
      <sz val="11"/>
      <color theme="1"/>
      <name val="Calibri"/>
      <family val="2"/>
      <scheme val="minor"/>
    </font>
    <font>
      <b/>
      <sz val="11"/>
      <color theme="1"/>
      <name val="Calibri"/>
      <family val="2"/>
      <scheme val="minor"/>
    </font>
    <font>
      <b/>
      <sz val="16"/>
      <color theme="1"/>
      <name val="Calibri"/>
      <family val="2"/>
      <scheme val="minor"/>
    </font>
  </fonts>
  <fills count="2">
    <fill>
      <patternFill patternType="none"/>
    </fill>
    <fill>
      <patternFill patternType="gray125"/>
    </fill>
  </fills>
  <borders count="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14">
    <xf numFmtId="0" fontId="0" fillId="0" borderId="0" xfId="0"/>
    <xf numFmtId="14" fontId="0" fillId="0" borderId="0" xfId="0" applyNumberFormat="1"/>
    <xf numFmtId="0" fontId="0" fillId="0" borderId="3" xfId="0" applyBorder="1"/>
    <xf numFmtId="164" fontId="0" fillId="0" borderId="0" xfId="0" applyNumberFormat="1"/>
    <xf numFmtId="164" fontId="1" fillId="0" borderId="0" xfId="0" applyNumberFormat="1" applyFont="1"/>
    <xf numFmtId="164" fontId="2" fillId="0" borderId="2" xfId="0" applyNumberFormat="1" applyFont="1" applyBorder="1"/>
    <xf numFmtId="164" fontId="2" fillId="0" borderId="0" xfId="0" applyNumberFormat="1" applyFont="1"/>
    <xf numFmtId="0" fontId="1" fillId="0" borderId="1" xfId="0" applyFont="1" applyBorder="1"/>
    <xf numFmtId="0" fontId="1" fillId="0" borderId="3" xfId="0" applyFont="1" applyBorder="1"/>
    <xf numFmtId="10" fontId="2" fillId="0" borderId="2" xfId="0" applyNumberFormat="1" applyFont="1" applyBorder="1"/>
    <xf numFmtId="0" fontId="0" fillId="0" borderId="0" xfId="0" pivotButton="1"/>
    <xf numFmtId="0" fontId="0" fillId="0" borderId="0" xfId="0" applyAlignment="1">
      <alignment horizontal="left"/>
    </xf>
    <xf numFmtId="0" fontId="2" fillId="0" borderId="0" xfId="0" applyFont="1" applyAlignment="1">
      <alignment horizontal="center"/>
    </xf>
    <xf numFmtId="0" fontId="2" fillId="0" borderId="0" xfId="0" applyFont="1" applyAlignment="1">
      <alignment horizontal="center"/>
    </xf>
  </cellXfs>
  <cellStyles count="1">
    <cellStyle name="Normal" xfId="0" builtinId="0"/>
  </cellStyles>
  <dxfs count="35">
    <dxf>
      <numFmt numFmtId="164" formatCode="_-[$₦-46A]* #,##0.00_-;\-[$₦-46A]* #,##0.00_-;_-[$₦-46A]* &quot;-&quot;??_-;_-@_-"/>
    </dxf>
    <dxf>
      <font>
        <b/>
      </font>
    </dxf>
    <dxf>
      <font>
        <b/>
      </font>
    </dxf>
    <dxf>
      <font>
        <b/>
      </font>
    </dxf>
    <dxf>
      <font>
        <b/>
      </font>
    </dxf>
    <dxf>
      <font>
        <b/>
      </font>
    </dxf>
    <dxf>
      <font>
        <b/>
      </font>
    </dxf>
    <dxf>
      <font>
        <b/>
      </font>
    </dxf>
    <dxf>
      <font>
        <b/>
      </font>
    </dxf>
    <dxf>
      <font>
        <b/>
      </font>
    </dxf>
    <dxf>
      <font>
        <b/>
      </font>
    </dxf>
    <dxf>
      <font>
        <b/>
      </font>
    </dxf>
    <dxf>
      <font>
        <b/>
      </font>
    </dxf>
    <dxf>
      <numFmt numFmtId="164" formatCode="_-[$₦-46A]* #,##0.00_-;\-[$₦-46A]* #,##0.00_-;_-[$₦-46A]* &quot;-&quot;??_-;_-@_-"/>
    </dxf>
    <dxf>
      <numFmt numFmtId="164" formatCode="_-[$₦-46A]* #,##0.00_-;\-[$₦-46A]* #,##0.00_-;_-[$₦-46A]* &quot;-&quot;??_-;_-@_-"/>
    </dxf>
    <dxf>
      <numFmt numFmtId="164" formatCode="_-[$₦-46A]* #,##0.00_-;\-[$₦-46A]* #,##0.00_-;_-[$₦-46A]* &quot;-&quot;??_-;_-@_-"/>
    </dxf>
    <dxf>
      <numFmt numFmtId="164" formatCode="_-[$₦-46A]* #,##0.00_-;\-[$₦-46A]* #,##0.00_-;_-[$₦-46A]* &quot;-&quot;??_-;_-@_-"/>
    </dxf>
    <dxf>
      <numFmt numFmtId="164" formatCode="_-[$₦-46A]* #,##0.00_-;\-[$₦-46A]* #,##0.00_-;_-[$₦-46A]*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[Project_3_Financial_Raw_Data.xlsx]pivot table!PivotTable10</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Monthly</a:t>
            </a:r>
            <a:r>
              <a:rPr lang="en-US" b="1" baseline="0">
                <a:solidFill>
                  <a:sysClr val="windowText" lastClr="000000"/>
                </a:solidFill>
              </a:rPr>
              <a:t> Profit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92825896762907"/>
          <c:y val="0.17171296296296298"/>
          <c:w val="0.75529396325459319"/>
          <c:h val="0.6293157626130067"/>
        </c:manualLayout>
      </c:layout>
      <c:lineChart>
        <c:grouping val="standard"/>
        <c:varyColors val="0"/>
        <c:ser>
          <c:idx val="0"/>
          <c:order val="0"/>
          <c:tx>
            <c:strRef>
              <c:f>'pivot table'!$B$1</c:f>
              <c:strCache>
                <c:ptCount val="1"/>
                <c:pt idx="0">
                  <c:v>Total</c:v>
                </c:pt>
              </c:strCache>
            </c:strRef>
          </c:tx>
          <c:spPr>
            <a:ln w="28575" cap="rnd">
              <a:solidFill>
                <a:schemeClr val="accent1"/>
              </a:solidFill>
              <a:round/>
            </a:ln>
            <a:effectLst/>
          </c:spPr>
          <c:marker>
            <c:symbol val="none"/>
          </c:marker>
          <c:cat>
            <c:strRef>
              <c:f>'pivot table'!$A$2:$A$8</c:f>
              <c:strCache>
                <c:ptCount val="6"/>
                <c:pt idx="0">
                  <c:v>Jan</c:v>
                </c:pt>
                <c:pt idx="1">
                  <c:v>Feb</c:v>
                </c:pt>
                <c:pt idx="2">
                  <c:v>Mar</c:v>
                </c:pt>
                <c:pt idx="3">
                  <c:v>Apr</c:v>
                </c:pt>
                <c:pt idx="4">
                  <c:v>May</c:v>
                </c:pt>
                <c:pt idx="5">
                  <c:v>Jun</c:v>
                </c:pt>
              </c:strCache>
            </c:strRef>
          </c:cat>
          <c:val>
            <c:numRef>
              <c:f>'pivot table'!$B$2:$B$8</c:f>
              <c:numCache>
                <c:formatCode>_-[$₦-46A]* #,##0.00_-;\-[$₦-46A]* #,##0.00_-;_-[$₦-46A]* "-"??_-;_-@_-</c:formatCode>
                <c:ptCount val="6"/>
                <c:pt idx="0">
                  <c:v>17214983.689999994</c:v>
                </c:pt>
                <c:pt idx="1">
                  <c:v>13666095.690000009</c:v>
                </c:pt>
                <c:pt idx="2">
                  <c:v>16005631.389999989</c:v>
                </c:pt>
                <c:pt idx="3">
                  <c:v>15281097.529999999</c:v>
                </c:pt>
                <c:pt idx="4">
                  <c:v>13281156.950000005</c:v>
                </c:pt>
                <c:pt idx="5">
                  <c:v>16390067.119999994</c:v>
                </c:pt>
              </c:numCache>
            </c:numRef>
          </c:val>
          <c:smooth val="0"/>
          <c:extLst>
            <c:ext xmlns:c16="http://schemas.microsoft.com/office/drawing/2014/chart" uri="{C3380CC4-5D6E-409C-BE32-E72D297353CC}">
              <c16:uniqueId val="{00000000-D86A-4582-A870-3C15F5462D56}"/>
            </c:ext>
          </c:extLst>
        </c:ser>
        <c:dLbls>
          <c:showLegendKey val="0"/>
          <c:showVal val="0"/>
          <c:showCatName val="0"/>
          <c:showSerName val="0"/>
          <c:showPercent val="0"/>
          <c:showBubbleSize val="0"/>
        </c:dLbls>
        <c:smooth val="0"/>
        <c:axId val="38725119"/>
        <c:axId val="912878288"/>
      </c:lineChart>
      <c:catAx>
        <c:axId val="3872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78288"/>
        <c:crosses val="autoZero"/>
        <c:auto val="1"/>
        <c:lblAlgn val="ctr"/>
        <c:lblOffset val="100"/>
        <c:noMultiLvlLbl val="0"/>
      </c:catAx>
      <c:valAx>
        <c:axId val="912878288"/>
        <c:scaling>
          <c:orientation val="minMax"/>
        </c:scaling>
        <c:delete val="0"/>
        <c:axPos val="l"/>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[Project_3_Financial_Raw_Data.xlsx]pivot table!PivotTable11</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Profit</a:t>
            </a:r>
            <a:r>
              <a:rPr lang="en-US" b="1" baseline="0">
                <a:solidFill>
                  <a:sysClr val="windowText" lastClr="000000"/>
                </a:solidFill>
              </a:rPr>
              <a:t> By City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c:f>
              <c:strCache>
                <c:ptCount val="1"/>
                <c:pt idx="0">
                  <c:v>Total</c:v>
                </c:pt>
              </c:strCache>
            </c:strRef>
          </c:tx>
          <c:spPr>
            <a:solidFill>
              <a:schemeClr val="accent1"/>
            </a:solidFill>
            <a:ln>
              <a:noFill/>
            </a:ln>
            <a:effectLst/>
          </c:spPr>
          <c:invertIfNegative val="0"/>
          <c:cat>
            <c:strRef>
              <c:f>'pivot table'!$D$2:$D$7</c:f>
              <c:strCache>
                <c:ptCount val="5"/>
                <c:pt idx="0">
                  <c:v>Abuja</c:v>
                </c:pt>
                <c:pt idx="1">
                  <c:v>Ibadan</c:v>
                </c:pt>
                <c:pt idx="2">
                  <c:v>Kano</c:v>
                </c:pt>
                <c:pt idx="3">
                  <c:v>Lagos</c:v>
                </c:pt>
                <c:pt idx="4">
                  <c:v>Port Harcourt</c:v>
                </c:pt>
              </c:strCache>
            </c:strRef>
          </c:cat>
          <c:val>
            <c:numRef>
              <c:f>'pivot table'!$E$2:$E$7</c:f>
              <c:numCache>
                <c:formatCode>_-[$₦-46A]* #,##0.00_-;\-[$₦-46A]* #,##0.00_-;_-[$₦-46A]* "-"??_-;_-@_-</c:formatCode>
                <c:ptCount val="5"/>
                <c:pt idx="0">
                  <c:v>12021621.429999998</c:v>
                </c:pt>
                <c:pt idx="1">
                  <c:v>13940789.130000003</c:v>
                </c:pt>
                <c:pt idx="2">
                  <c:v>12186809.079999994</c:v>
                </c:pt>
                <c:pt idx="3">
                  <c:v>39996279.030000009</c:v>
                </c:pt>
                <c:pt idx="4">
                  <c:v>13693533.700000003</c:v>
                </c:pt>
              </c:numCache>
            </c:numRef>
          </c:val>
          <c:extLst>
            <c:ext xmlns:c16="http://schemas.microsoft.com/office/drawing/2014/chart" uri="{C3380CC4-5D6E-409C-BE32-E72D297353CC}">
              <c16:uniqueId val="{00000000-52F9-412D-91F4-CF10B5EAE859}"/>
            </c:ext>
          </c:extLst>
        </c:ser>
        <c:dLbls>
          <c:showLegendKey val="0"/>
          <c:showVal val="0"/>
          <c:showCatName val="0"/>
          <c:showSerName val="0"/>
          <c:showPercent val="0"/>
          <c:showBubbleSize val="0"/>
        </c:dLbls>
        <c:gapWidth val="219"/>
        <c:overlap val="-27"/>
        <c:axId val="1973440032"/>
        <c:axId val="912907568"/>
      </c:barChart>
      <c:catAx>
        <c:axId val="197344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907568"/>
        <c:crosses val="autoZero"/>
        <c:auto val="1"/>
        <c:lblAlgn val="ctr"/>
        <c:lblOffset val="100"/>
        <c:noMultiLvlLbl val="0"/>
      </c:catAx>
      <c:valAx>
        <c:axId val="912907568"/>
        <c:scaling>
          <c:orientation val="minMax"/>
        </c:scaling>
        <c:delete val="0"/>
        <c:axPos val="l"/>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44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[Project_3_Financial_Raw_Data.xlsx]pivot table!PivotTable12</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Profit</a:t>
            </a:r>
            <a:r>
              <a:rPr lang="en-US" b="1" baseline="0">
                <a:solidFill>
                  <a:sysClr val="windowText" lastClr="000000"/>
                </a:solidFill>
              </a:rPr>
              <a:t> By Product Category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table'!$G$2:$G$5</c:f>
              <c:strCache>
                <c:ptCount val="3"/>
                <c:pt idx="0">
                  <c:v>Electronics</c:v>
                </c:pt>
                <c:pt idx="1">
                  <c:v>Furniture</c:v>
                </c:pt>
                <c:pt idx="2">
                  <c:v>Office Supplies</c:v>
                </c:pt>
              </c:strCache>
            </c:strRef>
          </c:cat>
          <c:val>
            <c:numRef>
              <c:f>'pivot table'!$H$2:$H$5</c:f>
              <c:numCache>
                <c:formatCode>_-[$₦-46A]* #,##0.00_-;\-[$₦-46A]* #,##0.00_-;_-[$₦-46A]* "-"??_-;_-@_-</c:formatCode>
                <c:ptCount val="3"/>
                <c:pt idx="0">
                  <c:v>28317302.800000004</c:v>
                </c:pt>
                <c:pt idx="1">
                  <c:v>31668620.220000003</c:v>
                </c:pt>
                <c:pt idx="2">
                  <c:v>31853109.350000013</c:v>
                </c:pt>
              </c:numCache>
            </c:numRef>
          </c:val>
          <c:extLst>
            <c:ext xmlns:c16="http://schemas.microsoft.com/office/drawing/2014/chart" uri="{C3380CC4-5D6E-409C-BE32-E72D297353CC}">
              <c16:uniqueId val="{00000000-4A7E-4990-8FBC-2E4552DB6989}"/>
            </c:ext>
          </c:extLst>
        </c:ser>
        <c:dLbls>
          <c:dLblPos val="outEnd"/>
          <c:showLegendKey val="0"/>
          <c:showVal val="1"/>
          <c:showCatName val="0"/>
          <c:showSerName val="0"/>
          <c:showPercent val="0"/>
          <c:showBubbleSize val="0"/>
        </c:dLbls>
        <c:gapWidth val="219"/>
        <c:overlap val="-27"/>
        <c:axId val="1973463232"/>
        <c:axId val="1174736336"/>
      </c:barChart>
      <c:catAx>
        <c:axId val="197346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736336"/>
        <c:crosses val="autoZero"/>
        <c:auto val="1"/>
        <c:lblAlgn val="ctr"/>
        <c:lblOffset val="100"/>
        <c:noMultiLvlLbl val="0"/>
      </c:catAx>
      <c:valAx>
        <c:axId val="1174736336"/>
        <c:scaling>
          <c:orientation val="minMax"/>
        </c:scaling>
        <c:delete val="0"/>
        <c:axPos val="l"/>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46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[Project_3_Financial_Raw_Data.xlsx]pivot table!PivotTable13</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Profit</a:t>
            </a:r>
            <a:r>
              <a:rPr lang="en-US" b="1" baseline="0">
                <a:solidFill>
                  <a:sysClr val="windowText" lastClr="000000"/>
                </a:solidFill>
              </a:rPr>
              <a:t> By Salesperson</a:t>
            </a:r>
            <a:endParaRPr lang="en-US" b="1">
              <a:solidFill>
                <a:sysClr val="windowText" lastClr="000000"/>
              </a:solidFill>
            </a:endParaRPr>
          </a:p>
        </c:rich>
      </c:tx>
      <c:layout>
        <c:manualLayout>
          <c:xMode val="edge"/>
          <c:yMode val="edge"/>
          <c:x val="0.3283888888888889"/>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table'!$B$11</c:f>
              <c:strCache>
                <c:ptCount val="1"/>
                <c:pt idx="0">
                  <c:v>Total</c:v>
                </c:pt>
              </c:strCache>
            </c:strRef>
          </c:tx>
          <c:spPr>
            <a:solidFill>
              <a:schemeClr val="accent1"/>
            </a:solidFill>
            <a:ln>
              <a:noFill/>
            </a:ln>
            <a:effectLst/>
          </c:spPr>
          <c:invertIfNegative val="0"/>
          <c:cat>
            <c:strRef>
              <c:f>'pivot table'!$A$12:$A$18</c:f>
              <c:strCache>
                <c:ptCount val="6"/>
                <c:pt idx="0">
                  <c:v>Aisha</c:v>
                </c:pt>
                <c:pt idx="1">
                  <c:v>David</c:v>
                </c:pt>
                <c:pt idx="2">
                  <c:v>Grace</c:v>
                </c:pt>
                <c:pt idx="3">
                  <c:v>John</c:v>
                </c:pt>
                <c:pt idx="4">
                  <c:v>Mary</c:v>
                </c:pt>
                <c:pt idx="5">
                  <c:v>Tunde</c:v>
                </c:pt>
              </c:strCache>
            </c:strRef>
          </c:cat>
          <c:val>
            <c:numRef>
              <c:f>'pivot table'!$B$12:$B$18</c:f>
              <c:numCache>
                <c:formatCode>_-[$₦-46A]* #,##0.00_-;\-[$₦-46A]* #,##0.00_-;_-[$₦-46A]* "-"??_-;_-@_-</c:formatCode>
                <c:ptCount val="6"/>
                <c:pt idx="0">
                  <c:v>15795368.319999993</c:v>
                </c:pt>
                <c:pt idx="1">
                  <c:v>15959453.26</c:v>
                </c:pt>
                <c:pt idx="2">
                  <c:v>12979824.059999999</c:v>
                </c:pt>
                <c:pt idx="3">
                  <c:v>15438941.199999999</c:v>
                </c:pt>
                <c:pt idx="4">
                  <c:v>16898337.219999999</c:v>
                </c:pt>
                <c:pt idx="5">
                  <c:v>14767108.310000001</c:v>
                </c:pt>
              </c:numCache>
            </c:numRef>
          </c:val>
          <c:extLst>
            <c:ext xmlns:c16="http://schemas.microsoft.com/office/drawing/2014/chart" uri="{C3380CC4-5D6E-409C-BE32-E72D297353CC}">
              <c16:uniqueId val="{00000000-4B3A-4C58-B6CD-2698908AD220}"/>
            </c:ext>
          </c:extLst>
        </c:ser>
        <c:dLbls>
          <c:showLegendKey val="0"/>
          <c:showVal val="0"/>
          <c:showCatName val="0"/>
          <c:showSerName val="0"/>
          <c:showPercent val="0"/>
          <c:showBubbleSize val="0"/>
        </c:dLbls>
        <c:gapWidth val="219"/>
        <c:overlap val="-27"/>
        <c:axId val="1975785600"/>
        <c:axId val="1174700336"/>
      </c:barChart>
      <c:catAx>
        <c:axId val="197578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700336"/>
        <c:crosses val="autoZero"/>
        <c:auto val="1"/>
        <c:lblAlgn val="ctr"/>
        <c:lblOffset val="100"/>
        <c:noMultiLvlLbl val="0"/>
      </c:catAx>
      <c:valAx>
        <c:axId val="1174700336"/>
        <c:scaling>
          <c:orientation val="minMax"/>
        </c:scaling>
        <c:delete val="0"/>
        <c:axPos val="l"/>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78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[Project_3_Financial_Raw_Data.xlsx]pivot table!PivotTable14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table'!$E$11</c:f>
              <c:strCache>
                <c:ptCount val="1"/>
                <c:pt idx="0">
                  <c:v>Sum of Expenses</c:v>
                </c:pt>
              </c:strCache>
            </c:strRef>
          </c:tx>
          <c:spPr>
            <a:solidFill>
              <a:schemeClr val="accent1"/>
            </a:solidFill>
            <a:ln>
              <a:noFill/>
            </a:ln>
            <a:effectLst/>
          </c:spPr>
          <c:invertIfNegative val="0"/>
          <c:cat>
            <c:strRef>
              <c:f>'pivot table'!$D$12:$D$18</c:f>
              <c:strCache>
                <c:ptCount val="6"/>
                <c:pt idx="0">
                  <c:v>Jan</c:v>
                </c:pt>
                <c:pt idx="1">
                  <c:v>Feb</c:v>
                </c:pt>
                <c:pt idx="2">
                  <c:v>Mar</c:v>
                </c:pt>
                <c:pt idx="3">
                  <c:v>Apr</c:v>
                </c:pt>
                <c:pt idx="4">
                  <c:v>May</c:v>
                </c:pt>
                <c:pt idx="5">
                  <c:v>Jun</c:v>
                </c:pt>
              </c:strCache>
            </c:strRef>
          </c:cat>
          <c:val>
            <c:numRef>
              <c:f>'pivot table'!$E$12:$E$18</c:f>
              <c:numCache>
                <c:formatCode>_-[$₦-46A]* #,##0.00_-;\-[$₦-46A]* #,##0.00_-;_-[$₦-46A]* "-"??_-;_-@_-</c:formatCode>
                <c:ptCount val="6"/>
                <c:pt idx="0">
                  <c:v>33775070.789999999</c:v>
                </c:pt>
                <c:pt idx="1">
                  <c:v>28591225.299999997</c:v>
                </c:pt>
                <c:pt idx="2">
                  <c:v>30282933.909999978</c:v>
                </c:pt>
                <c:pt idx="3">
                  <c:v>30817965.189999986</c:v>
                </c:pt>
                <c:pt idx="4">
                  <c:v>26920084.200000007</c:v>
                </c:pt>
                <c:pt idx="5">
                  <c:v>34999350.759999998</c:v>
                </c:pt>
              </c:numCache>
            </c:numRef>
          </c:val>
          <c:extLst>
            <c:ext xmlns:c16="http://schemas.microsoft.com/office/drawing/2014/chart" uri="{C3380CC4-5D6E-409C-BE32-E72D297353CC}">
              <c16:uniqueId val="{00000000-BC85-4D54-B065-ED92A625B95B}"/>
            </c:ext>
          </c:extLst>
        </c:ser>
        <c:ser>
          <c:idx val="1"/>
          <c:order val="1"/>
          <c:tx>
            <c:strRef>
              <c:f>'pivot table'!$F$11</c:f>
              <c:strCache>
                <c:ptCount val="1"/>
                <c:pt idx="0">
                  <c:v>Sum of Revenue</c:v>
                </c:pt>
              </c:strCache>
            </c:strRef>
          </c:tx>
          <c:spPr>
            <a:solidFill>
              <a:schemeClr val="accent2"/>
            </a:solidFill>
            <a:ln>
              <a:noFill/>
            </a:ln>
            <a:effectLst/>
          </c:spPr>
          <c:invertIfNegative val="0"/>
          <c:cat>
            <c:strRef>
              <c:f>'pivot table'!$D$12:$D$18</c:f>
              <c:strCache>
                <c:ptCount val="6"/>
                <c:pt idx="0">
                  <c:v>Jan</c:v>
                </c:pt>
                <c:pt idx="1">
                  <c:v>Feb</c:v>
                </c:pt>
                <c:pt idx="2">
                  <c:v>Mar</c:v>
                </c:pt>
                <c:pt idx="3">
                  <c:v>Apr</c:v>
                </c:pt>
                <c:pt idx="4">
                  <c:v>May</c:v>
                </c:pt>
                <c:pt idx="5">
                  <c:v>Jun</c:v>
                </c:pt>
              </c:strCache>
            </c:strRef>
          </c:cat>
          <c:val>
            <c:numRef>
              <c:f>'pivot table'!$F$12:$F$18</c:f>
              <c:numCache>
                <c:formatCode>_-[$₦-46A]* #,##0.00_-;\-[$₦-46A]* #,##0.00_-;_-[$₦-46A]* "-"??_-;_-@_-</c:formatCode>
                <c:ptCount val="6"/>
                <c:pt idx="0">
                  <c:v>50990054.479999989</c:v>
                </c:pt>
                <c:pt idx="1">
                  <c:v>42257320.99000001</c:v>
                </c:pt>
                <c:pt idx="2">
                  <c:v>46288565.300000004</c:v>
                </c:pt>
                <c:pt idx="3">
                  <c:v>46099062.719999984</c:v>
                </c:pt>
                <c:pt idx="4">
                  <c:v>40201241.149999976</c:v>
                </c:pt>
                <c:pt idx="5">
                  <c:v>51389417.879999965</c:v>
                </c:pt>
              </c:numCache>
            </c:numRef>
          </c:val>
          <c:extLst>
            <c:ext xmlns:c16="http://schemas.microsoft.com/office/drawing/2014/chart" uri="{C3380CC4-5D6E-409C-BE32-E72D297353CC}">
              <c16:uniqueId val="{00000001-BC85-4D54-B065-ED92A625B95B}"/>
            </c:ext>
          </c:extLst>
        </c:ser>
        <c:dLbls>
          <c:showLegendKey val="0"/>
          <c:showVal val="0"/>
          <c:showCatName val="0"/>
          <c:showSerName val="0"/>
          <c:showPercent val="0"/>
          <c:showBubbleSize val="0"/>
        </c:dLbls>
        <c:gapWidth val="219"/>
        <c:overlap val="-27"/>
        <c:axId val="1973497568"/>
        <c:axId val="1174702736"/>
      </c:barChart>
      <c:catAx>
        <c:axId val="197349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702736"/>
        <c:crosses val="autoZero"/>
        <c:auto val="1"/>
        <c:lblAlgn val="ctr"/>
        <c:lblOffset val="100"/>
        <c:noMultiLvlLbl val="0"/>
      </c:catAx>
      <c:valAx>
        <c:axId val="1174702736"/>
        <c:scaling>
          <c:orientation val="minMax"/>
        </c:scaling>
        <c:delete val="0"/>
        <c:axPos val="l"/>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49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20706</xdr:colOff>
      <xdr:row>7</xdr:row>
      <xdr:rowOff>6902</xdr:rowOff>
    </xdr:from>
    <xdr:to>
      <xdr:col>5</xdr:col>
      <xdr:colOff>30369</xdr:colOff>
      <xdr:row>21</xdr:row>
      <xdr:rowOff>141081</xdr:rowOff>
    </xdr:to>
    <xdr:graphicFrame macro="">
      <xdr:nvGraphicFramePr>
        <xdr:cNvPr id="2" name="Chart 1">
          <a:extLst>
            <a:ext uri="{FF2B5EF4-FFF2-40B4-BE49-F238E27FC236}">
              <a16:creationId xmlns:a16="http://schemas.microsoft.com/office/drawing/2014/main" id="{14A8989A-722A-4ACA-BBAD-F65862622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414132</xdr:colOff>
      <xdr:row>7</xdr:row>
      <xdr:rowOff>0</xdr:rowOff>
    </xdr:from>
    <xdr:to>
      <xdr:col>9</xdr:col>
      <xdr:colOff>734393</xdr:colOff>
      <xdr:row>21</xdr:row>
      <xdr:rowOff>134179</xdr:rowOff>
    </xdr:to>
    <xdr:graphicFrame macro="">
      <xdr:nvGraphicFramePr>
        <xdr:cNvPr id="3" name="Chart 2">
          <a:extLst>
            <a:ext uri="{FF2B5EF4-FFF2-40B4-BE49-F238E27FC236}">
              <a16:creationId xmlns:a16="http://schemas.microsoft.com/office/drawing/2014/main" id="{D6A2B075-0726-4605-B8A3-BA85E1277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1131956</xdr:colOff>
      <xdr:row>6</xdr:row>
      <xdr:rowOff>186358</xdr:rowOff>
    </xdr:from>
    <xdr:to>
      <xdr:col>15</xdr:col>
      <xdr:colOff>306456</xdr:colOff>
      <xdr:row>21</xdr:row>
      <xdr:rowOff>134178</xdr:rowOff>
    </xdr:to>
    <xdr:graphicFrame macro="">
      <xdr:nvGraphicFramePr>
        <xdr:cNvPr id="4" name="Chart 3">
          <a:extLst>
            <a:ext uri="{FF2B5EF4-FFF2-40B4-BE49-F238E27FC236}">
              <a16:creationId xmlns:a16="http://schemas.microsoft.com/office/drawing/2014/main" id="{E7A6AF2B-CBA4-4B11-B6A4-3A1C57507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7</xdr:row>
      <xdr:rowOff>0</xdr:rowOff>
    </xdr:from>
    <xdr:to>
      <xdr:col>23</xdr:col>
      <xdr:colOff>320261</xdr:colOff>
      <xdr:row>21</xdr:row>
      <xdr:rowOff>134179</xdr:rowOff>
    </xdr:to>
    <xdr:graphicFrame macro="">
      <xdr:nvGraphicFramePr>
        <xdr:cNvPr id="5" name="Chart 4">
          <a:extLst>
            <a:ext uri="{FF2B5EF4-FFF2-40B4-BE49-F238E27FC236}">
              <a16:creationId xmlns:a16="http://schemas.microsoft.com/office/drawing/2014/main" id="{81AD9A6E-A238-4CFB-8680-99E95803B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0</xdr:colOff>
      <xdr:row>7</xdr:row>
      <xdr:rowOff>0</xdr:rowOff>
    </xdr:from>
    <xdr:to>
      <xdr:col>31</xdr:col>
      <xdr:colOff>320261</xdr:colOff>
      <xdr:row>21</xdr:row>
      <xdr:rowOff>134179</xdr:rowOff>
    </xdr:to>
    <xdr:graphicFrame macro="">
      <xdr:nvGraphicFramePr>
        <xdr:cNvPr id="6" name="Chart 5">
          <a:extLst>
            <a:ext uri="{FF2B5EF4-FFF2-40B4-BE49-F238E27FC236}">
              <a16:creationId xmlns:a16="http://schemas.microsoft.com/office/drawing/2014/main" id="{ABF95941-9B66-4344-8EE4-FF7E3F5F6C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1136044</xdr:colOff>
      <xdr:row>25</xdr:row>
      <xdr:rowOff>62895</xdr:rowOff>
    </xdr:from>
    <xdr:to>
      <xdr:col>14</xdr:col>
      <xdr:colOff>243415</xdr:colOff>
      <xdr:row>39</xdr:row>
      <xdr:rowOff>47019</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1F89E67D-F057-CEC4-73F2-488BD210DDB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671877" y="4957687"/>
              <a:ext cx="1832580" cy="2577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977294</xdr:colOff>
      <xdr:row>25</xdr:row>
      <xdr:rowOff>25098</xdr:rowOff>
    </xdr:from>
    <xdr:to>
      <xdr:col>11</xdr:col>
      <xdr:colOff>749904</xdr:colOff>
      <xdr:row>39</xdr:row>
      <xdr:rowOff>9222</xdr:rowOff>
    </xdr:to>
    <mc:AlternateContent xmlns:mc="http://schemas.openxmlformats.org/markup-compatibility/2006">
      <mc:Choice xmlns:a14="http://schemas.microsoft.com/office/drawing/2010/main" Requires="a14">
        <xdr:graphicFrame macro="">
          <xdr:nvGraphicFramePr>
            <xdr:cNvPr id="8" name="Product Category">
              <a:extLst>
                <a:ext uri="{FF2B5EF4-FFF2-40B4-BE49-F238E27FC236}">
                  <a16:creationId xmlns:a16="http://schemas.microsoft.com/office/drawing/2014/main" id="{43DF610F-E32E-C489-E211-EC4EEC88620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0449377" y="4919890"/>
              <a:ext cx="1836360" cy="2577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879022</xdr:colOff>
      <xdr:row>25</xdr:row>
      <xdr:rowOff>17538</xdr:rowOff>
    </xdr:from>
    <xdr:to>
      <xdr:col>9</xdr:col>
      <xdr:colOff>594179</xdr:colOff>
      <xdr:row>39</xdr:row>
      <xdr:rowOff>1662</xdr:rowOff>
    </xdr:to>
    <mc:AlternateContent xmlns:mc="http://schemas.openxmlformats.org/markup-compatibility/2006">
      <mc:Choice xmlns:a14="http://schemas.microsoft.com/office/drawing/2010/main" Requires="a14">
        <xdr:graphicFrame macro="">
          <xdr:nvGraphicFramePr>
            <xdr:cNvPr id="9" name="Salesperson">
              <a:extLst>
                <a:ext uri="{FF2B5EF4-FFF2-40B4-BE49-F238E27FC236}">
                  <a16:creationId xmlns:a16="http://schemas.microsoft.com/office/drawing/2014/main" id="{A713744E-E0B0-2C48-06DA-EFB3CE549298}"/>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8234439" y="4912330"/>
              <a:ext cx="1831823" cy="2577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856343</xdr:colOff>
      <xdr:row>24</xdr:row>
      <xdr:rowOff>161170</xdr:rowOff>
    </xdr:from>
    <xdr:to>
      <xdr:col>7</xdr:col>
      <xdr:colOff>508000</xdr:colOff>
      <xdr:row>38</xdr:row>
      <xdr:rowOff>145296</xdr:rowOff>
    </xdr:to>
    <mc:AlternateContent xmlns:mc="http://schemas.openxmlformats.org/markup-compatibility/2006">
      <mc:Choice xmlns:a14="http://schemas.microsoft.com/office/drawing/2010/main" Requires="a14">
        <xdr:graphicFrame macro="">
          <xdr:nvGraphicFramePr>
            <xdr:cNvPr id="10" name="Months (Date)">
              <a:extLst>
                <a:ext uri="{FF2B5EF4-FFF2-40B4-BE49-F238E27FC236}">
                  <a16:creationId xmlns:a16="http://schemas.microsoft.com/office/drawing/2014/main" id="{8D6EDD4B-8773-4CB2-5737-6C12A87C4D6C}"/>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6028947" y="4870753"/>
              <a:ext cx="1834470" cy="25770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ZONE AYOMIKUN" refreshedDate="46218.699733796297" createdVersion="8" refreshedVersion="8" minRefreshableVersion="3" recordCount="1000" xr:uid="{D45ED3FC-CC0E-483D-AC22-4EE0DF19A393}">
  <cacheSource type="worksheet">
    <worksheetSource name="Table2_1"/>
  </cacheSource>
  <cacheFields count="15">
    <cacheField name="Transaction ID" numFmtId="0">
      <sharedItems/>
    </cacheField>
    <cacheField name="Date" numFmtId="14">
      <sharedItems containsSemiMixedTypes="0" containsNonDate="0" containsDate="1" containsString="0" minDate="2026-01-01T00:00:00" maxDate="2026-07-01T00:00:00" count="179">
        <d v="2026-04-19T00:00:00"/>
        <d v="2026-03-16T00:00:00"/>
        <d v="2026-02-21T00:00:00"/>
        <d v="2026-01-08T00:00:00"/>
        <d v="2026-03-09T00:00:00"/>
        <d v="2026-05-02T00:00:00"/>
        <d v="2026-04-11T00:00:00"/>
        <d v="2026-03-06T00:00:00"/>
        <d v="2026-03-17T00:00:00"/>
        <d v="2026-04-14T00:00:00"/>
        <d v="2026-06-30T00:00:00"/>
        <d v="2026-05-15T00:00:00"/>
        <d v="2026-06-17T00:00:00"/>
        <d v="2026-05-06T00:00:00"/>
        <d v="2026-02-13T00:00:00"/>
        <d v="2026-06-12T00:00:00"/>
        <d v="2026-04-22T00:00:00"/>
        <d v="2026-06-10T00:00:00"/>
        <d v="2026-05-29T00:00:00"/>
        <d v="2026-04-01T00:00:00"/>
        <d v="2026-03-11T00:00:00"/>
        <d v="2026-01-05T00:00:00"/>
        <d v="2026-04-10T00:00:00"/>
        <d v="2026-05-17T00:00:00"/>
        <d v="2026-04-12T00:00:00"/>
        <d v="2026-04-16T00:00:00"/>
        <d v="2026-04-27T00:00:00"/>
        <d v="2026-02-20T00:00:00"/>
        <d v="2026-06-14T00:00:00"/>
        <d v="2026-05-19T00:00:00"/>
        <d v="2026-03-21T00:00:00"/>
        <d v="2026-03-13T00:00:00"/>
        <d v="2026-01-06T00:00:00"/>
        <d v="2026-03-14T00:00:00"/>
        <d v="2026-04-17T00:00:00"/>
        <d v="2026-05-11T00:00:00"/>
        <d v="2026-02-18T00:00:00"/>
        <d v="2026-03-20T00:00:00"/>
        <d v="2026-02-26T00:00:00"/>
        <d v="2026-02-03T00:00:00"/>
        <d v="2026-06-21T00:00:00"/>
        <d v="2026-01-22T00:00:00"/>
        <d v="2026-01-27T00:00:00"/>
        <d v="2026-02-17T00:00:00"/>
        <d v="2026-06-13T00:00:00"/>
        <d v="2026-04-20T00:00:00"/>
        <d v="2026-05-12T00:00:00"/>
        <d v="2026-05-28T00:00:00"/>
        <d v="2026-03-28T00:00:00"/>
        <d v="2026-02-22T00:00:00"/>
        <d v="2026-02-16T00:00:00"/>
        <d v="2026-03-05T00:00:00"/>
        <d v="2026-05-21T00:00:00"/>
        <d v="2026-01-24T00:00:00"/>
        <d v="2026-01-10T00:00:00"/>
        <d v="2026-01-29T00:00:00"/>
        <d v="2026-05-20T00:00:00"/>
        <d v="2026-01-19T00:00:00"/>
        <d v="2026-03-19T00:00:00"/>
        <d v="2026-05-04T00:00:00"/>
        <d v="2026-04-21T00:00:00"/>
        <d v="2026-01-14T00:00:00"/>
        <d v="2026-02-08T00:00:00"/>
        <d v="2026-02-05T00:00:00"/>
        <d v="2026-05-03T00:00:00"/>
        <d v="2026-02-15T00:00:00"/>
        <d v="2026-03-18T00:00:00"/>
        <d v="2026-04-07T00:00:00"/>
        <d v="2026-01-28T00:00:00"/>
        <d v="2026-03-25T00:00:00"/>
        <d v="2026-03-10T00:00:00"/>
        <d v="2026-01-09T00:00:00"/>
        <d v="2026-05-26T00:00:00"/>
        <d v="2026-06-08T00:00:00"/>
        <d v="2026-05-07T00:00:00"/>
        <d v="2026-03-29T00:00:00"/>
        <d v="2026-01-25T00:00:00"/>
        <d v="2026-03-23T00:00:00"/>
        <d v="2026-04-05T00:00:00"/>
        <d v="2026-02-07T00:00:00"/>
        <d v="2026-04-06T00:00:00"/>
        <d v="2026-03-12T00:00:00"/>
        <d v="2026-05-24T00:00:00"/>
        <d v="2026-01-18T00:00:00"/>
        <d v="2026-05-09T00:00:00"/>
        <d v="2026-02-11T00:00:00"/>
        <d v="2026-06-09T00:00:00"/>
        <d v="2026-04-02T00:00:00"/>
        <d v="2026-06-27T00:00:00"/>
        <d v="2026-04-24T00:00:00"/>
        <d v="2026-05-16T00:00:00"/>
        <d v="2026-05-25T00:00:00"/>
        <d v="2026-02-02T00:00:00"/>
        <d v="2026-03-31T00:00:00"/>
        <d v="2026-02-25T00:00:00"/>
        <d v="2026-03-30T00:00:00"/>
        <d v="2026-03-24T00:00:00"/>
        <d v="2026-05-18T00:00:00"/>
        <d v="2026-01-03T00:00:00"/>
        <d v="2026-05-22T00:00:00"/>
        <d v="2026-04-23T00:00:00"/>
        <d v="2026-04-09T00:00:00"/>
        <d v="2026-01-07T00:00:00"/>
        <d v="2026-05-30T00:00:00"/>
        <d v="2026-03-02T00:00:00"/>
        <d v="2026-04-18T00:00:00"/>
        <d v="2026-04-04T00:00:00"/>
        <d v="2026-02-19T00:00:00"/>
        <d v="2026-03-03T00:00:00"/>
        <d v="2026-03-27T00:00:00"/>
        <d v="2026-06-18T00:00:00"/>
        <d v="2026-04-15T00:00:00"/>
        <d v="2026-06-26T00:00:00"/>
        <d v="2026-03-07T00:00:00"/>
        <d v="2026-06-28T00:00:00"/>
        <d v="2026-05-23T00:00:00"/>
        <d v="2026-02-09T00:00:00"/>
        <d v="2026-01-16T00:00:00"/>
        <d v="2026-01-20T00:00:00"/>
        <d v="2026-02-01T00:00:00"/>
        <d v="2026-02-10T00:00:00"/>
        <d v="2026-04-08T00:00:00"/>
        <d v="2026-06-29T00:00:00"/>
        <d v="2026-06-07T00:00:00"/>
        <d v="2026-01-17T00:00:00"/>
        <d v="2026-06-25T00:00:00"/>
        <d v="2026-02-28T00:00:00"/>
        <d v="2026-03-26T00:00:00"/>
        <d v="2026-06-15T00:00:00"/>
        <d v="2026-03-04T00:00:00"/>
        <d v="2026-01-15T00:00:00"/>
        <d v="2026-02-23T00:00:00"/>
        <d v="2026-06-24T00:00:00"/>
        <d v="2026-06-03T00:00:00"/>
        <d v="2026-04-03T00:00:00"/>
        <d v="2026-03-22T00:00:00"/>
        <d v="2026-01-31T00:00:00"/>
        <d v="2026-06-05T00:00:00"/>
        <d v="2026-01-21T00:00:00"/>
        <d v="2026-01-01T00:00:00"/>
        <d v="2026-06-02T00:00:00"/>
        <d v="2026-05-13T00:00:00"/>
        <d v="2026-02-04T00:00:00"/>
        <d v="2026-05-27T00:00:00"/>
        <d v="2026-05-14T00:00:00"/>
        <d v="2026-01-04T00:00:00"/>
        <d v="2026-05-31T00:00:00"/>
        <d v="2026-01-11T00:00:00"/>
        <d v="2026-02-27T00:00:00"/>
        <d v="2026-06-23T00:00:00"/>
        <d v="2026-06-01T00:00:00"/>
        <d v="2026-04-28T00:00:00"/>
        <d v="2026-03-01T00:00:00"/>
        <d v="2026-02-14T00:00:00"/>
        <d v="2026-06-11T00:00:00"/>
        <d v="2026-01-02T00:00:00"/>
        <d v="2026-04-29T00:00:00"/>
        <d v="2026-05-08T00:00:00"/>
        <d v="2026-06-22T00:00:00"/>
        <d v="2026-01-26T00:00:00"/>
        <d v="2026-01-13T00:00:00"/>
        <d v="2026-02-12T00:00:00"/>
        <d v="2026-02-06T00:00:00"/>
        <d v="2026-01-30T00:00:00"/>
        <d v="2026-06-06T00:00:00"/>
        <d v="2026-06-16T00:00:00"/>
        <d v="2026-02-24T00:00:00"/>
        <d v="2026-06-04T00:00:00"/>
        <d v="2026-06-20T00:00:00"/>
        <d v="2026-04-30T00:00:00"/>
        <d v="2026-04-13T00:00:00"/>
        <d v="2026-04-26T00:00:00"/>
        <d v="2026-03-08T00:00:00"/>
        <d v="2026-03-15T00:00:00"/>
        <d v="2026-05-10T00:00:00"/>
        <d v="2026-06-19T00:00:00"/>
        <d v="2026-01-12T00:00:00"/>
        <d v="2026-04-25T00:00:00"/>
        <d v="2026-05-01T00:00:00"/>
      </sharedItems>
      <fieldGroup par="14"/>
    </cacheField>
    <cacheField name="City" numFmtId="0">
      <sharedItems count="5">
        <s v="Lagos"/>
        <s v="Ibadan"/>
        <s v="Abuja"/>
        <s v="Kano"/>
        <s v="Port Harcourt"/>
      </sharedItems>
    </cacheField>
    <cacheField name="Product Category" numFmtId="0">
      <sharedItems count="3">
        <s v="Electronics"/>
        <s v="Furniture"/>
        <s v="Office Supplies"/>
      </sharedItems>
    </cacheField>
    <cacheField name="Product Name" numFmtId="0">
      <sharedItems/>
    </cacheField>
    <cacheField name="Salesperson" numFmtId="0">
      <sharedItems count="6">
        <s v="John"/>
        <s v="Tunde"/>
        <s v="Aisha"/>
        <s v="Mary"/>
        <s v="Grace"/>
        <s v="David"/>
      </sharedItems>
    </cacheField>
    <cacheField name="Revenue" numFmtId="0">
      <sharedItems containsSemiMixedTypes="0" containsString="0" containsNumber="1" minValue="50512.39" maxValue="499692.01"/>
    </cacheField>
    <cacheField name="Expenses" numFmtId="0">
      <sharedItems containsSemiMixedTypes="0" containsString="0" containsNumber="1" minValue="21343.37" maxValue="457200.05"/>
    </cacheField>
    <cacheField name="Payment Method" numFmtId="0">
      <sharedItems/>
    </cacheField>
    <cacheField name="Customer Type" numFmtId="0">
      <sharedItems/>
    </cacheField>
    <cacheField name="Profit" numFmtId="0">
      <sharedItems containsSemiMixedTypes="0" containsString="0" containsNumber="1" minValue="3832.2200000000012" maxValue="296066.15000000002"/>
    </cacheField>
    <cacheField name="Profit Margin" numFmtId="0">
      <sharedItems containsSemiMixedTypes="0" containsString="0" containsNumber="1" minValue="5.0126573893953717E-2" maxValue="0.59986433620564938"/>
    </cacheField>
    <cacheField name="Column1" numFmtId="0">
      <sharedItems containsNonDate="0" containsString="0" containsBlank="1"/>
    </cacheField>
    <cacheField name="Days (Date)" numFmtId="0" databaseField="0">
      <fieldGroup base="1">
        <rangePr groupBy="days" startDate="2026-01-01T00:00:00" endDate="2026-07-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6"/>
        </groupItems>
      </fieldGroup>
    </cacheField>
    <cacheField name="Months (Date)" numFmtId="0" databaseField="0">
      <fieldGroup base="1">
        <rangePr groupBy="months" startDate="2026-01-01T00:00:00" endDate="2026-07-01T00:00:00"/>
        <groupItems count="14">
          <s v="&lt;1/1/2026"/>
          <s v="Jan"/>
          <s v="Feb"/>
          <s v="Mar"/>
          <s v="Apr"/>
          <s v="May"/>
          <s v="Jun"/>
          <s v="Jul"/>
          <s v="Aug"/>
          <s v="Sep"/>
          <s v="Oct"/>
          <s v="Nov"/>
          <s v="Dec"/>
          <s v="&gt;7/1/2026"/>
        </groupItems>
      </fieldGroup>
    </cacheField>
  </cacheFields>
  <extLst>
    <ext xmlns:x14="http://schemas.microsoft.com/office/spreadsheetml/2009/9/main" uri="{725AE2AE-9491-48be-B2B4-4EB974FC3084}">
      <x14:pivotCacheDefinition pivotCacheId="15892431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1001"/>
    <x v="0"/>
    <x v="0"/>
    <x v="0"/>
    <s v="Phone"/>
    <x v="0"/>
    <n v="168831.4"/>
    <n v="130857.36"/>
    <s v="Cash"/>
    <s v="Corporate"/>
    <n v="37974.039999999994"/>
    <n v="0.22492285202871026"/>
    <m/>
  </r>
  <r>
    <s v="T1002"/>
    <x v="1"/>
    <x v="1"/>
    <x v="1"/>
    <s v="Laptop"/>
    <x v="1"/>
    <n v="199379.39"/>
    <n v="140800.19"/>
    <s v="Cash"/>
    <s v="Corporate"/>
    <n v="58579.200000000012"/>
    <n v="0.29380769998343365"/>
    <m/>
  </r>
  <r>
    <s v="T1003"/>
    <x v="2"/>
    <x v="0"/>
    <x v="1"/>
    <s v="Phone"/>
    <x v="1"/>
    <n v="63929.72"/>
    <n v="59221.760000000002"/>
    <s v="Transfer"/>
    <s v="Corporate"/>
    <n v="4707.9599999999991"/>
    <n v="7.3642743938187108E-2"/>
    <m/>
  </r>
  <r>
    <s v="T1004"/>
    <x v="3"/>
    <x v="1"/>
    <x v="2"/>
    <s v="Cabinet"/>
    <x v="2"/>
    <n v="309517.33"/>
    <n v="138144.12"/>
    <s v="Cash"/>
    <s v="Retail"/>
    <n v="171373.21000000002"/>
    <n v="0.55367888447474012"/>
    <m/>
  </r>
  <r>
    <s v="T1005"/>
    <x v="4"/>
    <x v="1"/>
    <x v="1"/>
    <s v="Chair"/>
    <x v="3"/>
    <n v="337067.28"/>
    <n v="225842.63"/>
    <s v="Card"/>
    <s v="Corporate"/>
    <n v="111224.65000000002"/>
    <n v="0.32997759379077085"/>
    <m/>
  </r>
  <r>
    <s v="T1006"/>
    <x v="5"/>
    <x v="2"/>
    <x v="0"/>
    <s v="Chair"/>
    <x v="0"/>
    <n v="71943.350000000006"/>
    <n v="38807.26"/>
    <s v="Card"/>
    <s v="Corporate"/>
    <n v="33136.090000000004"/>
    <n v="0.46058586373862215"/>
    <m/>
  </r>
  <r>
    <s v="T1007"/>
    <x v="6"/>
    <x v="2"/>
    <x v="2"/>
    <s v="Chair"/>
    <x v="2"/>
    <n v="306928.59999999998"/>
    <n v="246387"/>
    <s v="Cash"/>
    <s v="Corporate"/>
    <n v="60541.599999999977"/>
    <n v="0.19724978382594513"/>
    <m/>
  </r>
  <r>
    <s v="T1008"/>
    <x v="7"/>
    <x v="1"/>
    <x v="0"/>
    <s v="Laptop"/>
    <x v="2"/>
    <n v="102839.26"/>
    <n v="84800.59"/>
    <s v="Cash"/>
    <s v="Retail"/>
    <n v="18038.669999999998"/>
    <n v="0.17540645469444255"/>
    <m/>
  </r>
  <r>
    <s v="T1009"/>
    <x v="8"/>
    <x v="3"/>
    <x v="2"/>
    <s v="Chair"/>
    <x v="0"/>
    <n v="361969.43"/>
    <n v="208681.93"/>
    <s v="Card"/>
    <s v="Retail"/>
    <n v="153287.5"/>
    <n v="0.42348189458982766"/>
    <m/>
  </r>
  <r>
    <s v="T1010"/>
    <x v="9"/>
    <x v="0"/>
    <x v="2"/>
    <s v="Cabinet"/>
    <x v="4"/>
    <n v="482620.52"/>
    <n v="205211.58"/>
    <s v="Transfer"/>
    <s v="Retail"/>
    <n v="277408.94000000006"/>
    <n v="0.57479723406704719"/>
    <m/>
  </r>
  <r>
    <s v="T1011"/>
    <x v="10"/>
    <x v="0"/>
    <x v="0"/>
    <s v="Chair"/>
    <x v="5"/>
    <n v="361384.97"/>
    <n v="308401.21000000002"/>
    <s v="Card"/>
    <s v="Corporate"/>
    <n v="52983.759999999951"/>
    <n v="0.14661307026686793"/>
    <m/>
  </r>
  <r>
    <s v="T1012"/>
    <x v="11"/>
    <x v="0"/>
    <x v="2"/>
    <s v="Phone"/>
    <x v="3"/>
    <n v="187082.52"/>
    <n v="160095.74"/>
    <s v="Transfer"/>
    <s v="Retail"/>
    <n v="26986.78"/>
    <n v="0.14425067611875231"/>
    <m/>
  </r>
  <r>
    <s v="T1013"/>
    <x v="7"/>
    <x v="0"/>
    <x v="1"/>
    <s v="Chair"/>
    <x v="3"/>
    <n v="83953.98"/>
    <n v="61880.03"/>
    <s v="Cash"/>
    <s v="Corporate"/>
    <n v="22073.949999999997"/>
    <n v="0.26292916666964444"/>
    <m/>
  </r>
  <r>
    <s v="T1014"/>
    <x v="12"/>
    <x v="3"/>
    <x v="0"/>
    <s v="Cabinet"/>
    <x v="1"/>
    <n v="312644.78000000003"/>
    <n v="206141.32"/>
    <s v="Card"/>
    <s v="Corporate"/>
    <n v="106503.46000000002"/>
    <n v="0.34065324871248454"/>
    <m/>
  </r>
  <r>
    <s v="T1015"/>
    <x v="13"/>
    <x v="1"/>
    <x v="2"/>
    <s v="Cabinet"/>
    <x v="2"/>
    <n v="470058.61"/>
    <n v="266919.96999999997"/>
    <s v="Card"/>
    <s v="Retail"/>
    <n v="203138.64"/>
    <n v="0.43215598157004298"/>
    <m/>
  </r>
  <r>
    <s v="T1016"/>
    <x v="14"/>
    <x v="4"/>
    <x v="1"/>
    <s v="Cabinet"/>
    <x v="5"/>
    <n v="260107.37"/>
    <n v="172887.29"/>
    <s v="Card"/>
    <s v="Corporate"/>
    <n v="87220.079999999987"/>
    <n v="0.33532337049888278"/>
    <m/>
  </r>
  <r>
    <s v="T1017"/>
    <x v="15"/>
    <x v="0"/>
    <x v="0"/>
    <s v="Cabinet"/>
    <x v="3"/>
    <n v="52032.78"/>
    <n v="21343.37"/>
    <s v="Transfer"/>
    <s v="Retail"/>
    <n v="30689.41"/>
    <n v="0.58980915492118624"/>
    <m/>
  </r>
  <r>
    <s v="T1018"/>
    <x v="16"/>
    <x v="0"/>
    <x v="0"/>
    <s v="Desk"/>
    <x v="3"/>
    <n v="301665.83"/>
    <n v="137745.12"/>
    <s v="Transfer"/>
    <s v="Corporate"/>
    <n v="163920.71000000002"/>
    <n v="0.54338507612877474"/>
    <m/>
  </r>
  <r>
    <s v="T1019"/>
    <x v="17"/>
    <x v="0"/>
    <x v="2"/>
    <s v="Phone"/>
    <x v="5"/>
    <n v="483140.55"/>
    <n v="229738.75"/>
    <s v="Cash"/>
    <s v="Retail"/>
    <n v="253401.8"/>
    <n v="0.52448878488878647"/>
    <m/>
  </r>
  <r>
    <s v="T1020"/>
    <x v="18"/>
    <x v="0"/>
    <x v="1"/>
    <s v="Cabinet"/>
    <x v="1"/>
    <n v="468628.03"/>
    <n v="296066.03000000003"/>
    <s v="Card"/>
    <s v="Corporate"/>
    <n v="172562"/>
    <n v="0.36822808059517909"/>
    <m/>
  </r>
  <r>
    <s v="T1021"/>
    <x v="19"/>
    <x v="1"/>
    <x v="0"/>
    <s v="Cabinet"/>
    <x v="0"/>
    <n v="327723.53999999998"/>
    <n v="143882.43"/>
    <s v="Transfer"/>
    <s v="Retail"/>
    <n v="183841.11"/>
    <n v="0.56096400643054201"/>
    <m/>
  </r>
  <r>
    <s v="T1022"/>
    <x v="20"/>
    <x v="0"/>
    <x v="1"/>
    <s v="Chair"/>
    <x v="3"/>
    <n v="489435.84"/>
    <n v="306359.64"/>
    <s v="Card"/>
    <s v="Corporate"/>
    <n v="183076.2"/>
    <n v="0.37405556568967241"/>
    <m/>
  </r>
  <r>
    <s v="T1023"/>
    <x v="21"/>
    <x v="1"/>
    <x v="2"/>
    <s v="Desk"/>
    <x v="0"/>
    <n v="343219.61"/>
    <n v="254141.11"/>
    <s v="Cash"/>
    <s v="Corporate"/>
    <n v="89078.5"/>
    <n v="0.259537909270394"/>
    <m/>
  </r>
  <r>
    <s v="T1024"/>
    <x v="22"/>
    <x v="0"/>
    <x v="0"/>
    <s v="Printer"/>
    <x v="0"/>
    <n v="450586.6"/>
    <n v="319442.40000000002"/>
    <s v="Card"/>
    <s v="Corporate"/>
    <n v="131144.19999999995"/>
    <n v="0.29105215290468017"/>
    <m/>
  </r>
  <r>
    <s v="T1025"/>
    <x v="23"/>
    <x v="3"/>
    <x v="2"/>
    <s v="Printer"/>
    <x v="4"/>
    <n v="499692.01"/>
    <n v="426010.28"/>
    <s v="Card"/>
    <s v="Corporate"/>
    <n v="73681.729999999981"/>
    <n v="0.14745428889287218"/>
    <m/>
  </r>
  <r>
    <s v="T1026"/>
    <x v="24"/>
    <x v="0"/>
    <x v="1"/>
    <s v="Cabinet"/>
    <x v="5"/>
    <n v="121506.95"/>
    <n v="67147.11"/>
    <s v="Cash"/>
    <s v="Corporate"/>
    <n v="54359.839999999997"/>
    <n v="0.44738049963397153"/>
    <m/>
  </r>
  <r>
    <s v="T1027"/>
    <x v="25"/>
    <x v="0"/>
    <x v="1"/>
    <s v="Printer"/>
    <x v="0"/>
    <n v="404737.25"/>
    <n v="327970.82"/>
    <s v="Cash"/>
    <s v="Retail"/>
    <n v="76766.429999999993"/>
    <n v="0.18966979194526817"/>
    <m/>
  </r>
  <r>
    <s v="T1028"/>
    <x v="26"/>
    <x v="0"/>
    <x v="2"/>
    <s v="Cabinet"/>
    <x v="5"/>
    <n v="405502.71999999997"/>
    <n v="227817.24"/>
    <s v="Transfer"/>
    <s v="Corporate"/>
    <n v="177685.47999999998"/>
    <n v="0.4381856674105663"/>
    <m/>
  </r>
  <r>
    <s v="T1029"/>
    <x v="27"/>
    <x v="4"/>
    <x v="1"/>
    <s v="Cabinet"/>
    <x v="1"/>
    <n v="478719.71"/>
    <n v="401787.92"/>
    <s v="Transfer"/>
    <s v="Corporate"/>
    <n v="76931.790000000037"/>
    <n v="0.16070320146208317"/>
    <m/>
  </r>
  <r>
    <s v="T1030"/>
    <x v="15"/>
    <x v="0"/>
    <x v="1"/>
    <s v="Desk"/>
    <x v="3"/>
    <n v="411931.96"/>
    <n v="168530.75"/>
    <s v="Cash"/>
    <s v="Retail"/>
    <n v="243401.21000000002"/>
    <n v="0.59087721671316784"/>
    <m/>
  </r>
  <r>
    <s v="T1031"/>
    <x v="28"/>
    <x v="3"/>
    <x v="0"/>
    <s v="Desk"/>
    <x v="5"/>
    <n v="440028.14"/>
    <n v="357522.59"/>
    <s v="Transfer"/>
    <s v="Retail"/>
    <n v="82505.549999999988"/>
    <n v="0.18750062211930352"/>
    <m/>
  </r>
  <r>
    <s v="T1032"/>
    <x v="29"/>
    <x v="0"/>
    <x v="0"/>
    <s v="Laptop"/>
    <x v="2"/>
    <n v="100955.29"/>
    <n v="62427.56"/>
    <s v="Transfer"/>
    <s v="Corporate"/>
    <n v="38527.729999999996"/>
    <n v="0.38163161137965129"/>
    <m/>
  </r>
  <r>
    <s v="T1033"/>
    <x v="30"/>
    <x v="2"/>
    <x v="1"/>
    <s v="Phone"/>
    <x v="1"/>
    <n v="80794.559999999998"/>
    <n v="61781.24"/>
    <s v="Transfer"/>
    <s v="Corporate"/>
    <n v="19013.32"/>
    <n v="0.23532921028346462"/>
    <m/>
  </r>
  <r>
    <s v="T1034"/>
    <x v="31"/>
    <x v="1"/>
    <x v="0"/>
    <s v="Phone"/>
    <x v="3"/>
    <n v="400252.39"/>
    <n v="246563.61"/>
    <s v="Transfer"/>
    <s v="Retail"/>
    <n v="153688.78000000003"/>
    <n v="0.38397966842871323"/>
    <m/>
  </r>
  <r>
    <s v="T1035"/>
    <x v="32"/>
    <x v="3"/>
    <x v="1"/>
    <s v="Cabinet"/>
    <x v="3"/>
    <n v="477503.18"/>
    <n v="224084.48000000001"/>
    <s v="Cash"/>
    <s v="Retail"/>
    <n v="253418.69999999998"/>
    <n v="0.53071625617236728"/>
    <m/>
  </r>
  <r>
    <s v="T1036"/>
    <x v="3"/>
    <x v="0"/>
    <x v="2"/>
    <s v="Laptop"/>
    <x v="4"/>
    <n v="185582.6"/>
    <n v="108762.74"/>
    <s v="Card"/>
    <s v="Retail"/>
    <n v="76819.86"/>
    <n v="0.41393891453185805"/>
    <m/>
  </r>
  <r>
    <s v="T1037"/>
    <x v="33"/>
    <x v="0"/>
    <x v="2"/>
    <s v="Phone"/>
    <x v="0"/>
    <n v="413265.62"/>
    <n v="276015.3"/>
    <s v="Cash"/>
    <s v="Corporate"/>
    <n v="137250.32"/>
    <n v="0.3321116331912633"/>
    <m/>
  </r>
  <r>
    <s v="T1038"/>
    <x v="23"/>
    <x v="0"/>
    <x v="1"/>
    <s v="Desk"/>
    <x v="2"/>
    <n v="418782.26"/>
    <n v="264225.88"/>
    <s v="Transfer"/>
    <s v="Retail"/>
    <n v="154556.38"/>
    <n v="0.36906143063462143"/>
    <m/>
  </r>
  <r>
    <s v="T1039"/>
    <x v="20"/>
    <x v="0"/>
    <x v="2"/>
    <s v="Laptop"/>
    <x v="3"/>
    <n v="310371.40000000002"/>
    <n v="275134.44"/>
    <s v="Card"/>
    <s v="Corporate"/>
    <n v="35236.960000000021"/>
    <n v="0.11353159472812256"/>
    <m/>
  </r>
  <r>
    <s v="T1040"/>
    <x v="34"/>
    <x v="3"/>
    <x v="0"/>
    <s v="Chair"/>
    <x v="3"/>
    <n v="292546.58"/>
    <n v="260763.03"/>
    <s v="Card"/>
    <s v="Corporate"/>
    <n v="31783.550000000017"/>
    <n v="0.10864440801187973"/>
    <m/>
  </r>
  <r>
    <s v="T1041"/>
    <x v="35"/>
    <x v="0"/>
    <x v="2"/>
    <s v="Laptop"/>
    <x v="4"/>
    <n v="396944.19"/>
    <n v="294949.71000000002"/>
    <s v="Cash"/>
    <s v="Corporate"/>
    <n v="101994.47999999998"/>
    <n v="0.25694916960492603"/>
    <m/>
  </r>
  <r>
    <s v="T1042"/>
    <x v="36"/>
    <x v="0"/>
    <x v="0"/>
    <s v="Phone"/>
    <x v="2"/>
    <n v="444976.2"/>
    <n v="314883.61"/>
    <s v="Transfer"/>
    <s v="Corporate"/>
    <n v="130092.59000000003"/>
    <n v="0.29235853513064297"/>
    <m/>
  </r>
  <r>
    <s v="T1043"/>
    <x v="37"/>
    <x v="0"/>
    <x v="0"/>
    <s v="Desk"/>
    <x v="1"/>
    <n v="496150.81"/>
    <n v="343873.48"/>
    <s v="Card"/>
    <s v="Retail"/>
    <n v="152277.33000000002"/>
    <n v="0.30691742698152608"/>
    <m/>
  </r>
  <r>
    <s v="T1044"/>
    <x v="38"/>
    <x v="0"/>
    <x v="1"/>
    <s v="Printer"/>
    <x v="2"/>
    <n v="124157.72"/>
    <n v="56287.76"/>
    <s v="Transfer"/>
    <s v="Corporate"/>
    <n v="67869.959999999992"/>
    <n v="0.54664309235060049"/>
    <m/>
  </r>
  <r>
    <s v="T1045"/>
    <x v="39"/>
    <x v="0"/>
    <x v="2"/>
    <s v="Printer"/>
    <x v="3"/>
    <n v="51309.4"/>
    <n v="27019.84"/>
    <s v="Cash"/>
    <s v="Retail"/>
    <n v="24289.56"/>
    <n v="0.47339395900166442"/>
    <m/>
  </r>
  <r>
    <s v="T1046"/>
    <x v="40"/>
    <x v="0"/>
    <x v="2"/>
    <s v="Phone"/>
    <x v="2"/>
    <n v="67955.89"/>
    <n v="52458.65"/>
    <s v="Card"/>
    <s v="Corporate"/>
    <n v="15497.239999999998"/>
    <n v="0.22804851794303627"/>
    <m/>
  </r>
  <r>
    <s v="T1047"/>
    <x v="31"/>
    <x v="1"/>
    <x v="0"/>
    <s v="Desk"/>
    <x v="3"/>
    <n v="73568.86"/>
    <n v="36806.019999999997"/>
    <s v="Card"/>
    <s v="Corporate"/>
    <n v="36762.840000000004"/>
    <n v="0.49970653344363369"/>
    <m/>
  </r>
  <r>
    <s v="T1048"/>
    <x v="41"/>
    <x v="3"/>
    <x v="0"/>
    <s v="Laptop"/>
    <x v="2"/>
    <n v="375406.75"/>
    <n v="200141.72"/>
    <s v="Cash"/>
    <s v="Retail"/>
    <n v="175265.03"/>
    <n v="0.46686701824088139"/>
    <m/>
  </r>
  <r>
    <s v="T1049"/>
    <x v="42"/>
    <x v="3"/>
    <x v="1"/>
    <s v="Cabinet"/>
    <x v="1"/>
    <n v="211612.99"/>
    <n v="175165.36"/>
    <s v="Cash"/>
    <s v="Retail"/>
    <n v="36447.630000000005"/>
    <n v="0.17223720528687775"/>
    <m/>
  </r>
  <r>
    <s v="T1050"/>
    <x v="43"/>
    <x v="4"/>
    <x v="1"/>
    <s v="Chair"/>
    <x v="1"/>
    <n v="181315.5"/>
    <n v="74264.27"/>
    <s v="Transfer"/>
    <s v="Corporate"/>
    <n v="107051.23"/>
    <n v="0.59041411241730568"/>
    <m/>
  </r>
  <r>
    <s v="T1051"/>
    <x v="44"/>
    <x v="0"/>
    <x v="2"/>
    <s v="Cabinet"/>
    <x v="1"/>
    <n v="258857.5"/>
    <n v="216660.36"/>
    <s v="Cash"/>
    <s v="Retail"/>
    <n v="42197.140000000014"/>
    <n v="0.16301300908801181"/>
    <m/>
  </r>
  <r>
    <s v="T1052"/>
    <x v="45"/>
    <x v="3"/>
    <x v="0"/>
    <s v="Cabinet"/>
    <x v="5"/>
    <n v="386341.16"/>
    <n v="206972.68"/>
    <s v="Cash"/>
    <s v="Retail"/>
    <n v="179368.47999999998"/>
    <n v="0.46427483936736119"/>
    <m/>
  </r>
  <r>
    <s v="T1053"/>
    <x v="42"/>
    <x v="0"/>
    <x v="1"/>
    <s v="Chair"/>
    <x v="0"/>
    <n v="201213.38"/>
    <n v="109072.27"/>
    <s v="Card"/>
    <s v="Corporate"/>
    <n v="92141.11"/>
    <n v="0.45792735055690631"/>
    <m/>
  </r>
  <r>
    <s v="T1054"/>
    <x v="46"/>
    <x v="2"/>
    <x v="1"/>
    <s v="Printer"/>
    <x v="0"/>
    <n v="192768.27"/>
    <n v="111583.3"/>
    <s v="Cash"/>
    <s v="Corporate"/>
    <n v="81184.969999999987"/>
    <n v="0.42115318044821376"/>
    <m/>
  </r>
  <r>
    <s v="T1055"/>
    <x v="47"/>
    <x v="4"/>
    <x v="0"/>
    <s v="Chair"/>
    <x v="5"/>
    <n v="265682.98"/>
    <n v="146319.5"/>
    <s v="Cash"/>
    <s v="Retail"/>
    <n v="119363.47999999998"/>
    <n v="0.44927032962367403"/>
    <m/>
  </r>
  <r>
    <s v="T1056"/>
    <x v="48"/>
    <x v="3"/>
    <x v="1"/>
    <s v="Desk"/>
    <x v="0"/>
    <n v="62180.55"/>
    <n v="29816.43"/>
    <s v="Cash"/>
    <s v="Retail"/>
    <n v="32364.120000000003"/>
    <n v="0.52048622921476251"/>
    <m/>
  </r>
  <r>
    <s v="T1057"/>
    <x v="49"/>
    <x v="0"/>
    <x v="2"/>
    <s v="Desk"/>
    <x v="5"/>
    <n v="228877.57"/>
    <n v="196899.71"/>
    <s v="Cash"/>
    <s v="Corporate"/>
    <n v="31977.860000000015"/>
    <n v="0.13971600624735755"/>
    <m/>
  </r>
  <r>
    <s v="T1058"/>
    <x v="21"/>
    <x v="4"/>
    <x v="0"/>
    <s v="Cabinet"/>
    <x v="4"/>
    <n v="208378.1"/>
    <n v="169874.61"/>
    <s v="Cash"/>
    <s v="Corporate"/>
    <n v="38503.49000000002"/>
    <n v="0.18477704710811749"/>
    <m/>
  </r>
  <r>
    <s v="T1059"/>
    <x v="38"/>
    <x v="4"/>
    <x v="1"/>
    <s v="Desk"/>
    <x v="5"/>
    <n v="186742.49"/>
    <n v="160428.26999999999"/>
    <s v="Card"/>
    <s v="Corporate"/>
    <n v="26314.22"/>
    <n v="0.1409117978452574"/>
    <m/>
  </r>
  <r>
    <s v="T1060"/>
    <x v="50"/>
    <x v="4"/>
    <x v="1"/>
    <s v="Laptop"/>
    <x v="0"/>
    <n v="182677.24"/>
    <n v="130776.61"/>
    <s v="Card"/>
    <s v="Retail"/>
    <n v="51900.62999999999"/>
    <n v="0.28411109123391615"/>
    <m/>
  </r>
  <r>
    <s v="T1061"/>
    <x v="8"/>
    <x v="3"/>
    <x v="2"/>
    <s v="Phone"/>
    <x v="2"/>
    <n v="66331.009999999995"/>
    <n v="42666.59"/>
    <s v="Card"/>
    <s v="Corporate"/>
    <n v="23664.42"/>
    <n v="0.356762545904246"/>
    <m/>
  </r>
  <r>
    <s v="T1062"/>
    <x v="44"/>
    <x v="0"/>
    <x v="1"/>
    <s v="Phone"/>
    <x v="1"/>
    <n v="298871.8"/>
    <n v="144770.91"/>
    <s v="Card"/>
    <s v="Retail"/>
    <n v="154100.88999999998"/>
    <n v="0.51560866565530772"/>
    <m/>
  </r>
  <r>
    <s v="T1063"/>
    <x v="51"/>
    <x v="2"/>
    <x v="0"/>
    <s v="Desk"/>
    <x v="3"/>
    <n v="229265.26"/>
    <n v="217496.12"/>
    <s v="Cash"/>
    <s v="Retail"/>
    <n v="11769.140000000014"/>
    <n v="5.1334162009543063E-2"/>
    <m/>
  </r>
  <r>
    <s v="T1064"/>
    <x v="52"/>
    <x v="0"/>
    <x v="2"/>
    <s v="Phone"/>
    <x v="4"/>
    <n v="470795.35"/>
    <n v="250052.87"/>
    <s v="Transfer"/>
    <s v="Corporate"/>
    <n v="220742.47999999998"/>
    <n v="0.4688714109007236"/>
    <m/>
  </r>
  <r>
    <s v="T1065"/>
    <x v="53"/>
    <x v="0"/>
    <x v="1"/>
    <s v="Printer"/>
    <x v="3"/>
    <n v="482831.58"/>
    <n v="384402.04"/>
    <s v="Card"/>
    <s v="Corporate"/>
    <n v="98429.540000000037"/>
    <n v="0.20385895222512171"/>
    <m/>
  </r>
  <r>
    <s v="T1066"/>
    <x v="54"/>
    <x v="3"/>
    <x v="1"/>
    <s v="Printer"/>
    <x v="3"/>
    <n v="376513.27"/>
    <n v="334623.93"/>
    <s v="Card"/>
    <s v="Corporate"/>
    <n v="41889.340000000026"/>
    <n v="0.11125594590597039"/>
    <m/>
  </r>
  <r>
    <s v="T1067"/>
    <x v="55"/>
    <x v="4"/>
    <x v="1"/>
    <s v="Desk"/>
    <x v="3"/>
    <n v="487725.33"/>
    <n v="457200.05"/>
    <s v="Transfer"/>
    <s v="Retail"/>
    <n v="30525.280000000028"/>
    <n v="6.2587030286083409E-2"/>
    <m/>
  </r>
  <r>
    <s v="T1068"/>
    <x v="31"/>
    <x v="4"/>
    <x v="1"/>
    <s v="Desk"/>
    <x v="5"/>
    <n v="280832.71000000002"/>
    <n v="184466.76"/>
    <s v="Transfer"/>
    <s v="Retail"/>
    <n v="96365.950000000012"/>
    <n v="0.34314361030095109"/>
    <m/>
  </r>
  <r>
    <s v="T1069"/>
    <x v="56"/>
    <x v="1"/>
    <x v="1"/>
    <s v="Phone"/>
    <x v="1"/>
    <n v="410065.81"/>
    <n v="199532.73"/>
    <s v="Card"/>
    <s v="Retail"/>
    <n v="210533.08"/>
    <n v="0.51341290804029716"/>
    <m/>
  </r>
  <r>
    <s v="T1070"/>
    <x v="57"/>
    <x v="1"/>
    <x v="1"/>
    <s v="Printer"/>
    <x v="0"/>
    <n v="413403.59"/>
    <n v="304778.18"/>
    <s v="Cash"/>
    <s v="Retail"/>
    <n v="108625.41000000003"/>
    <n v="0.26275874866011695"/>
    <m/>
  </r>
  <r>
    <s v="T1071"/>
    <x v="58"/>
    <x v="0"/>
    <x v="0"/>
    <s v="Desk"/>
    <x v="1"/>
    <n v="223845.03"/>
    <n v="198806.77"/>
    <s v="Card"/>
    <s v="Corporate"/>
    <n v="25038.260000000009"/>
    <n v="0.11185533134240241"/>
    <m/>
  </r>
  <r>
    <s v="T1072"/>
    <x v="59"/>
    <x v="0"/>
    <x v="1"/>
    <s v="Printer"/>
    <x v="0"/>
    <n v="386090.38"/>
    <n v="254368.71"/>
    <s v="Cash"/>
    <s v="Corporate"/>
    <n v="131721.67000000001"/>
    <n v="0.34116796694079765"/>
    <m/>
  </r>
  <r>
    <s v="T1073"/>
    <x v="56"/>
    <x v="0"/>
    <x v="0"/>
    <s v="Printer"/>
    <x v="0"/>
    <n v="400889.95"/>
    <n v="197711.44"/>
    <s v="Cash"/>
    <s v="Retail"/>
    <n v="203178.51"/>
    <n v="0.50681866681866183"/>
    <m/>
  </r>
  <r>
    <s v="T1074"/>
    <x v="60"/>
    <x v="0"/>
    <x v="2"/>
    <s v="Chair"/>
    <x v="0"/>
    <n v="240398.26"/>
    <n v="104925.51"/>
    <s v="Card"/>
    <s v="Corporate"/>
    <n v="135472.75"/>
    <n v="0.56353465287144755"/>
    <m/>
  </r>
  <r>
    <s v="T1075"/>
    <x v="61"/>
    <x v="3"/>
    <x v="2"/>
    <s v="Printer"/>
    <x v="5"/>
    <n v="462583.69"/>
    <n v="363526.64"/>
    <s v="Cash"/>
    <s v="Corporate"/>
    <n v="99057.049999999988"/>
    <n v="0.21413865672609422"/>
    <m/>
  </r>
  <r>
    <s v="T1076"/>
    <x v="28"/>
    <x v="4"/>
    <x v="0"/>
    <s v="Chair"/>
    <x v="3"/>
    <n v="129069.69"/>
    <n v="57555.38"/>
    <s v="Transfer"/>
    <s v="Retail"/>
    <n v="71514.31"/>
    <n v="0.55407516667933421"/>
    <m/>
  </r>
  <r>
    <s v="T1077"/>
    <x v="10"/>
    <x v="1"/>
    <x v="1"/>
    <s v="Phone"/>
    <x v="2"/>
    <n v="390713.36"/>
    <n v="300012.75"/>
    <s v="Card"/>
    <s v="Corporate"/>
    <n v="90700.609999999986"/>
    <n v="0.23214105092285553"/>
    <m/>
  </r>
  <r>
    <s v="T1078"/>
    <x v="62"/>
    <x v="4"/>
    <x v="1"/>
    <s v="Chair"/>
    <x v="4"/>
    <n v="98046.13"/>
    <n v="52426.62"/>
    <s v="Transfer"/>
    <s v="Corporate"/>
    <n v="45619.51"/>
    <n v="0.46528618722635967"/>
    <m/>
  </r>
  <r>
    <s v="T1079"/>
    <x v="63"/>
    <x v="1"/>
    <x v="1"/>
    <s v="Phone"/>
    <x v="2"/>
    <n v="238492.84"/>
    <n v="136727.38"/>
    <s v="Cash"/>
    <s v="Corporate"/>
    <n v="101765.45999999999"/>
    <n v="0.42670236976506293"/>
    <m/>
  </r>
  <r>
    <s v="T1080"/>
    <x v="64"/>
    <x v="0"/>
    <x v="0"/>
    <s v="Laptop"/>
    <x v="1"/>
    <n v="382890.48"/>
    <n v="185833.63"/>
    <s v="Cash"/>
    <s v="Retail"/>
    <n v="197056.84999999998"/>
    <n v="0.51465591414025225"/>
    <m/>
  </r>
  <r>
    <s v="T1081"/>
    <x v="59"/>
    <x v="2"/>
    <x v="0"/>
    <s v="Phone"/>
    <x v="3"/>
    <n v="477962.49"/>
    <n v="344074.47"/>
    <s v="Transfer"/>
    <s v="Retail"/>
    <n v="133888.02000000002"/>
    <n v="0.2801224422443695"/>
    <m/>
  </r>
  <r>
    <s v="T1082"/>
    <x v="65"/>
    <x v="0"/>
    <x v="1"/>
    <s v="Chair"/>
    <x v="0"/>
    <n v="76469.05"/>
    <n v="33124.400000000001"/>
    <s v="Transfer"/>
    <s v="Retail"/>
    <n v="43344.65"/>
    <n v="0.56682605577027567"/>
    <m/>
  </r>
  <r>
    <s v="T1083"/>
    <x v="29"/>
    <x v="1"/>
    <x v="0"/>
    <s v="Laptop"/>
    <x v="2"/>
    <n v="460400.23"/>
    <n v="423765.89"/>
    <s v="Transfer"/>
    <s v="Corporate"/>
    <n v="36634.339999999967"/>
    <n v="7.9570637920836768E-2"/>
    <m/>
  </r>
  <r>
    <s v="T1084"/>
    <x v="37"/>
    <x v="3"/>
    <x v="0"/>
    <s v="Laptop"/>
    <x v="3"/>
    <n v="283649.38"/>
    <n v="151370.79999999999"/>
    <s v="Transfer"/>
    <s v="Corporate"/>
    <n v="132278.58000000002"/>
    <n v="0.46634538739340808"/>
    <m/>
  </r>
  <r>
    <s v="T1085"/>
    <x v="66"/>
    <x v="3"/>
    <x v="2"/>
    <s v="Laptop"/>
    <x v="2"/>
    <n v="173639.74"/>
    <n v="158595.12"/>
    <s v="Card"/>
    <s v="Retail"/>
    <n v="15044.619999999995"/>
    <n v="8.664272360693466E-2"/>
    <m/>
  </r>
  <r>
    <s v="T1086"/>
    <x v="53"/>
    <x v="1"/>
    <x v="2"/>
    <s v="Cabinet"/>
    <x v="0"/>
    <n v="429720.4"/>
    <n v="349362.37"/>
    <s v="Cash"/>
    <s v="Corporate"/>
    <n v="80358.030000000028"/>
    <n v="0.18700073350020158"/>
    <m/>
  </r>
  <r>
    <s v="T1087"/>
    <x v="67"/>
    <x v="3"/>
    <x v="2"/>
    <s v="Printer"/>
    <x v="3"/>
    <n v="136946.1"/>
    <n v="74304.960000000006"/>
    <s v="Card"/>
    <s v="Corporate"/>
    <n v="62641.14"/>
    <n v="0.45741455945076198"/>
    <m/>
  </r>
  <r>
    <s v="T1088"/>
    <x v="5"/>
    <x v="4"/>
    <x v="2"/>
    <s v="Phone"/>
    <x v="0"/>
    <n v="179384.44"/>
    <n v="152339.64000000001"/>
    <s v="Cash"/>
    <s v="Retail"/>
    <n v="27044.799999999988"/>
    <n v="0.15076446987263772"/>
    <m/>
  </r>
  <r>
    <s v="T1089"/>
    <x v="68"/>
    <x v="4"/>
    <x v="2"/>
    <s v="Cabinet"/>
    <x v="0"/>
    <n v="288212.14"/>
    <n v="147389.26999999999"/>
    <s v="Cash"/>
    <s v="Retail"/>
    <n v="140822.87000000002"/>
    <n v="0.48860839102752585"/>
    <m/>
  </r>
  <r>
    <s v="T1090"/>
    <x v="12"/>
    <x v="4"/>
    <x v="2"/>
    <s v="Phone"/>
    <x v="3"/>
    <n v="335010.76"/>
    <n v="199589.88"/>
    <s v="Transfer"/>
    <s v="Corporate"/>
    <n v="135420.88"/>
    <n v="0.40422844925936108"/>
    <m/>
  </r>
  <r>
    <s v="T1091"/>
    <x v="69"/>
    <x v="0"/>
    <x v="2"/>
    <s v="Laptop"/>
    <x v="5"/>
    <n v="330498.94"/>
    <n v="308337.28999999998"/>
    <s v="Transfer"/>
    <s v="Corporate"/>
    <n v="22161.650000000023"/>
    <n v="6.7055131856096184E-2"/>
    <m/>
  </r>
  <r>
    <s v="T1092"/>
    <x v="70"/>
    <x v="0"/>
    <x v="0"/>
    <s v="Desk"/>
    <x v="5"/>
    <n v="73464.86"/>
    <n v="35803.9"/>
    <s v="Cash"/>
    <s v="Corporate"/>
    <n v="37660.959999999999"/>
    <n v="0.51263910391988765"/>
    <m/>
  </r>
  <r>
    <s v="T1093"/>
    <x v="71"/>
    <x v="1"/>
    <x v="0"/>
    <s v="Chair"/>
    <x v="5"/>
    <n v="393026.67"/>
    <n v="165563.78"/>
    <s v="Cash"/>
    <s v="Retail"/>
    <n v="227462.88999999998"/>
    <n v="0.57874670439031528"/>
    <m/>
  </r>
  <r>
    <s v="T1094"/>
    <x v="72"/>
    <x v="3"/>
    <x v="2"/>
    <s v="Cabinet"/>
    <x v="5"/>
    <n v="308295.52"/>
    <n v="248891.57"/>
    <s v="Cash"/>
    <s v="Corporate"/>
    <n v="59403.950000000012"/>
    <n v="0.1926850899422736"/>
    <m/>
  </r>
  <r>
    <s v="T1095"/>
    <x v="36"/>
    <x v="2"/>
    <x v="1"/>
    <s v="Cabinet"/>
    <x v="2"/>
    <n v="345126.14"/>
    <n v="268885.65999999997"/>
    <s v="Card"/>
    <s v="Retail"/>
    <n v="76240.48000000004"/>
    <n v="0.22090613014708199"/>
    <m/>
  </r>
  <r>
    <s v="T1096"/>
    <x v="50"/>
    <x v="0"/>
    <x v="2"/>
    <s v="Phone"/>
    <x v="2"/>
    <n v="86277.2"/>
    <n v="42379.19"/>
    <s v="Card"/>
    <s v="Corporate"/>
    <n v="43898.009999999995"/>
    <n v="0.50880197781105552"/>
    <m/>
  </r>
  <r>
    <s v="T1097"/>
    <x v="40"/>
    <x v="0"/>
    <x v="1"/>
    <s v="Printer"/>
    <x v="4"/>
    <n v="328381.17"/>
    <n v="157645.51999999999"/>
    <s v="Card"/>
    <s v="Corporate"/>
    <n v="170735.65"/>
    <n v="0.51993130422185907"/>
    <m/>
  </r>
  <r>
    <s v="T1098"/>
    <x v="73"/>
    <x v="4"/>
    <x v="2"/>
    <s v="Desk"/>
    <x v="3"/>
    <n v="462003.06"/>
    <n v="368228.84"/>
    <s v="Transfer"/>
    <s v="Retail"/>
    <n v="93774.219999999972"/>
    <n v="0.20297315779683359"/>
    <m/>
  </r>
  <r>
    <s v="T1099"/>
    <x v="69"/>
    <x v="0"/>
    <x v="0"/>
    <s v="Chair"/>
    <x v="3"/>
    <n v="59191.38"/>
    <n v="24292.77"/>
    <s v="Transfer"/>
    <s v="Corporate"/>
    <n v="34898.61"/>
    <n v="0.58958939629385232"/>
    <m/>
  </r>
  <r>
    <s v="T1100"/>
    <x v="28"/>
    <x v="2"/>
    <x v="1"/>
    <s v="Printer"/>
    <x v="1"/>
    <n v="81260.990000000005"/>
    <n v="32590.35"/>
    <s v="Cash"/>
    <s v="Retail"/>
    <n v="48670.640000000007"/>
    <n v="0.59894224768858961"/>
    <m/>
  </r>
  <r>
    <s v="T1101"/>
    <x v="10"/>
    <x v="0"/>
    <x v="1"/>
    <s v="Desk"/>
    <x v="3"/>
    <n v="229665.54"/>
    <n v="194887.65"/>
    <s v="Card"/>
    <s v="Retail"/>
    <n v="34777.890000000014"/>
    <n v="0.15142842065030745"/>
    <m/>
  </r>
  <r>
    <s v="T1102"/>
    <x v="27"/>
    <x v="3"/>
    <x v="2"/>
    <s v="Chair"/>
    <x v="2"/>
    <n v="375853.58"/>
    <n v="207300.58"/>
    <s v="Card"/>
    <s v="Corporate"/>
    <n v="168553.00000000003"/>
    <n v="0.44845388994299329"/>
    <m/>
  </r>
  <r>
    <s v="T1103"/>
    <x v="30"/>
    <x v="4"/>
    <x v="2"/>
    <s v="Laptop"/>
    <x v="4"/>
    <n v="93542.33"/>
    <n v="74670.89"/>
    <s v="Transfer"/>
    <s v="Retail"/>
    <n v="18871.440000000002"/>
    <n v="0.20174224866966647"/>
    <m/>
  </r>
  <r>
    <s v="T1104"/>
    <x v="44"/>
    <x v="4"/>
    <x v="2"/>
    <s v="Laptop"/>
    <x v="2"/>
    <n v="406436.6"/>
    <n v="336530.41"/>
    <s v="Transfer"/>
    <s v="Retail"/>
    <n v="69906.19"/>
    <n v="0.17199777283837137"/>
    <m/>
  </r>
  <r>
    <s v="T1105"/>
    <x v="74"/>
    <x v="1"/>
    <x v="0"/>
    <s v="Chair"/>
    <x v="5"/>
    <n v="289297.53000000003"/>
    <n v="218713.45"/>
    <s v="Transfer"/>
    <s v="Retail"/>
    <n v="70584.080000000016"/>
    <n v="0.24398438521061694"/>
    <m/>
  </r>
  <r>
    <s v="T1106"/>
    <x v="75"/>
    <x v="4"/>
    <x v="0"/>
    <s v="Cabinet"/>
    <x v="0"/>
    <n v="360907.48"/>
    <n v="179204.35"/>
    <s v="Card"/>
    <s v="Retail"/>
    <n v="181703.12999999998"/>
    <n v="0.50346180134587393"/>
    <m/>
  </r>
  <r>
    <s v="T1107"/>
    <x v="52"/>
    <x v="0"/>
    <x v="2"/>
    <s v="Phone"/>
    <x v="5"/>
    <n v="251664.93"/>
    <n v="141181.12"/>
    <s v="Card"/>
    <s v="Corporate"/>
    <n v="110483.81"/>
    <n v="0.43901154602669512"/>
    <m/>
  </r>
  <r>
    <s v="T1108"/>
    <x v="76"/>
    <x v="2"/>
    <x v="1"/>
    <s v="Printer"/>
    <x v="1"/>
    <n v="132853.65"/>
    <n v="66988.479999999996"/>
    <s v="Cash"/>
    <s v="Corporate"/>
    <n v="65865.17"/>
    <n v="0.49577237810176839"/>
    <m/>
  </r>
  <r>
    <s v="T1109"/>
    <x v="73"/>
    <x v="0"/>
    <x v="2"/>
    <s v="Laptop"/>
    <x v="3"/>
    <n v="359868.46"/>
    <n v="195725.05"/>
    <s v="Cash"/>
    <s v="Corporate"/>
    <n v="164143.41000000003"/>
    <n v="0.45612057805788264"/>
    <m/>
  </r>
  <r>
    <s v="T1110"/>
    <x v="26"/>
    <x v="0"/>
    <x v="2"/>
    <s v="Printer"/>
    <x v="0"/>
    <n v="484902.99"/>
    <n v="332582.38"/>
    <s v="Cash"/>
    <s v="Corporate"/>
    <n v="152320.60999999999"/>
    <n v="0.31412594506789904"/>
    <m/>
  </r>
  <r>
    <s v="T1111"/>
    <x v="77"/>
    <x v="0"/>
    <x v="0"/>
    <s v="Laptop"/>
    <x v="0"/>
    <n v="416079.01"/>
    <n v="354501.3"/>
    <s v="Card"/>
    <s v="Retail"/>
    <n v="61577.710000000021"/>
    <n v="0.14799523292463135"/>
    <m/>
  </r>
  <r>
    <s v="T1112"/>
    <x v="78"/>
    <x v="1"/>
    <x v="2"/>
    <s v="Cabinet"/>
    <x v="0"/>
    <n v="393669.91"/>
    <n v="325104.12"/>
    <s v="Cash"/>
    <s v="Corporate"/>
    <n v="68565.789999999979"/>
    <n v="0.17417076656938293"/>
    <m/>
  </r>
  <r>
    <s v="T1113"/>
    <x v="79"/>
    <x v="4"/>
    <x v="2"/>
    <s v="Laptop"/>
    <x v="0"/>
    <n v="164257.73000000001"/>
    <n v="83721.710000000006"/>
    <s v="Card"/>
    <s v="Retail"/>
    <n v="80536.02"/>
    <n v="0.49030276992139121"/>
    <m/>
  </r>
  <r>
    <s v="T1114"/>
    <x v="80"/>
    <x v="0"/>
    <x v="0"/>
    <s v="Phone"/>
    <x v="2"/>
    <n v="231101.41"/>
    <n v="113693.29"/>
    <s v="Card"/>
    <s v="Retail"/>
    <n v="117408.12000000001"/>
    <n v="0.50803722919734673"/>
    <m/>
  </r>
  <r>
    <s v="T1115"/>
    <x v="81"/>
    <x v="0"/>
    <x v="1"/>
    <s v="Chair"/>
    <x v="1"/>
    <n v="396911.44"/>
    <n v="242812.08"/>
    <s v="Card"/>
    <s v="Retail"/>
    <n v="154099.36000000002"/>
    <n v="0.3882462042414298"/>
    <m/>
  </r>
  <r>
    <s v="T1116"/>
    <x v="45"/>
    <x v="4"/>
    <x v="0"/>
    <s v="Cabinet"/>
    <x v="2"/>
    <n v="306826.3"/>
    <n v="168362.1"/>
    <s v="Card"/>
    <s v="Retail"/>
    <n v="138464.19999999998"/>
    <n v="0.45127878542354416"/>
    <m/>
  </r>
  <r>
    <s v="T1117"/>
    <x v="82"/>
    <x v="2"/>
    <x v="2"/>
    <s v="Phone"/>
    <x v="3"/>
    <n v="122058.62"/>
    <n v="51117.79"/>
    <s v="Card"/>
    <s v="Corporate"/>
    <n v="70940.829999999987"/>
    <n v="0.58120294986130427"/>
    <m/>
  </r>
  <r>
    <s v="T1118"/>
    <x v="83"/>
    <x v="0"/>
    <x v="0"/>
    <s v="Printer"/>
    <x v="0"/>
    <n v="98259.17"/>
    <n v="57438"/>
    <s v="Cash"/>
    <s v="Retail"/>
    <n v="40821.17"/>
    <n v="0.41544387154908796"/>
    <m/>
  </r>
  <r>
    <s v="T1119"/>
    <x v="84"/>
    <x v="4"/>
    <x v="2"/>
    <s v="Printer"/>
    <x v="5"/>
    <n v="385275.69"/>
    <n v="171294.66"/>
    <s v="Card"/>
    <s v="Retail"/>
    <n v="213981.03"/>
    <n v="0.55539717546155065"/>
    <m/>
  </r>
  <r>
    <s v="T1120"/>
    <x v="26"/>
    <x v="0"/>
    <x v="0"/>
    <s v="Cabinet"/>
    <x v="0"/>
    <n v="415198.21"/>
    <n v="210682.81"/>
    <s v="Card"/>
    <s v="Retail"/>
    <n v="204515.40000000002"/>
    <n v="0.49257293281683467"/>
    <m/>
  </r>
  <r>
    <s v="T1121"/>
    <x v="85"/>
    <x v="0"/>
    <x v="2"/>
    <s v="Printer"/>
    <x v="4"/>
    <n v="273382.48"/>
    <n v="242845.37"/>
    <s v="Cash"/>
    <s v="Retail"/>
    <n v="30537.109999999986"/>
    <n v="0.11170104975271271"/>
    <m/>
  </r>
  <r>
    <s v="T1122"/>
    <x v="86"/>
    <x v="0"/>
    <x v="0"/>
    <s v="Cabinet"/>
    <x v="4"/>
    <n v="84589.69"/>
    <n v="56084.7"/>
    <s v="Transfer"/>
    <s v="Retail"/>
    <n v="28504.990000000005"/>
    <n v="0.33697948296063035"/>
    <m/>
  </r>
  <r>
    <s v="T1123"/>
    <x v="68"/>
    <x v="0"/>
    <x v="1"/>
    <s v="Desk"/>
    <x v="3"/>
    <n v="97552.73"/>
    <n v="72505.740000000005"/>
    <s v="Cash"/>
    <s v="Retail"/>
    <n v="25046.989999999991"/>
    <n v="0.25675334765106"/>
    <m/>
  </r>
  <r>
    <s v="T1124"/>
    <x v="6"/>
    <x v="3"/>
    <x v="2"/>
    <s v="Phone"/>
    <x v="5"/>
    <n v="228344.58"/>
    <n v="170766.58"/>
    <s v="Cash"/>
    <s v="Corporate"/>
    <n v="57578"/>
    <n v="0.25215400339259203"/>
    <m/>
  </r>
  <r>
    <s v="T1125"/>
    <x v="87"/>
    <x v="1"/>
    <x v="1"/>
    <s v="Phone"/>
    <x v="3"/>
    <n v="478236.74"/>
    <n v="429385.54"/>
    <s v="Card"/>
    <s v="Corporate"/>
    <n v="48851.200000000012"/>
    <n v="0.10214857185585535"/>
    <m/>
  </r>
  <r>
    <s v="T1126"/>
    <x v="88"/>
    <x v="4"/>
    <x v="1"/>
    <s v="Desk"/>
    <x v="5"/>
    <n v="286057.71000000002"/>
    <n v="131304.89000000001"/>
    <s v="Card"/>
    <s v="Corporate"/>
    <n v="154752.82"/>
    <n v="0.54098461460801039"/>
    <m/>
  </r>
  <r>
    <s v="T1127"/>
    <x v="89"/>
    <x v="0"/>
    <x v="1"/>
    <s v="Phone"/>
    <x v="3"/>
    <n v="252345.56"/>
    <n v="115862.17"/>
    <s v="Card"/>
    <s v="Corporate"/>
    <n v="136483.39000000001"/>
    <n v="0.54085909020947309"/>
    <m/>
  </r>
  <r>
    <s v="T1128"/>
    <x v="90"/>
    <x v="0"/>
    <x v="1"/>
    <s v="Laptop"/>
    <x v="4"/>
    <n v="370311.18"/>
    <n v="206450.44"/>
    <s v="Transfer"/>
    <s v="Retail"/>
    <n v="163860.74"/>
    <n v="0.44249471485035907"/>
    <m/>
  </r>
  <r>
    <s v="T1129"/>
    <x v="91"/>
    <x v="3"/>
    <x v="2"/>
    <s v="Desk"/>
    <x v="5"/>
    <n v="439590.7"/>
    <n v="363955.37"/>
    <s v="Cash"/>
    <s v="Corporate"/>
    <n v="75635.330000000016"/>
    <n v="0.17205853081059269"/>
    <m/>
  </r>
  <r>
    <s v="T1130"/>
    <x v="92"/>
    <x v="1"/>
    <x v="2"/>
    <s v="Phone"/>
    <x v="0"/>
    <n v="74595.210000000006"/>
    <n v="63488.21"/>
    <s v="Card"/>
    <s v="Corporate"/>
    <n v="11107.000000000007"/>
    <n v="0.14889696000587713"/>
    <m/>
  </r>
  <r>
    <s v="T1131"/>
    <x v="93"/>
    <x v="0"/>
    <x v="0"/>
    <s v="Cabinet"/>
    <x v="5"/>
    <n v="487369.64"/>
    <n v="205124.71"/>
    <s v="Transfer"/>
    <s v="Corporate"/>
    <n v="282244.93000000005"/>
    <n v="0.57911881831621692"/>
    <m/>
  </r>
  <r>
    <s v="T1132"/>
    <x v="94"/>
    <x v="2"/>
    <x v="2"/>
    <s v="Desk"/>
    <x v="1"/>
    <n v="385689.49"/>
    <n v="203021.18"/>
    <s v="Card"/>
    <s v="Corporate"/>
    <n v="182668.31"/>
    <n v="0.47361495383242103"/>
    <m/>
  </r>
  <r>
    <s v="T1133"/>
    <x v="29"/>
    <x v="3"/>
    <x v="0"/>
    <s v="Cabinet"/>
    <x v="5"/>
    <n v="240256.51"/>
    <n v="189393.1"/>
    <s v="Cash"/>
    <s v="Retail"/>
    <n v="50863.41"/>
    <n v="0.21170460688037132"/>
    <m/>
  </r>
  <r>
    <s v="T1134"/>
    <x v="88"/>
    <x v="1"/>
    <x v="0"/>
    <s v="Printer"/>
    <x v="1"/>
    <n v="156169.39000000001"/>
    <n v="82523.14"/>
    <s v="Card"/>
    <s v="Retail"/>
    <n v="73646.250000000015"/>
    <n v="0.47157928964184342"/>
    <m/>
  </r>
  <r>
    <s v="T1135"/>
    <x v="95"/>
    <x v="4"/>
    <x v="0"/>
    <s v="Printer"/>
    <x v="5"/>
    <n v="427278.26"/>
    <n v="302855.17"/>
    <s v="Cash"/>
    <s v="Corporate"/>
    <n v="124423.09000000003"/>
    <n v="0.29119920587581505"/>
    <m/>
  </r>
  <r>
    <s v="T1136"/>
    <x v="96"/>
    <x v="4"/>
    <x v="0"/>
    <s v="Desk"/>
    <x v="0"/>
    <n v="151627.88"/>
    <n v="126745.9"/>
    <s v="Cash"/>
    <s v="Corporate"/>
    <n v="24881.98000000001"/>
    <n v="0.16409897704828433"/>
    <m/>
  </r>
  <r>
    <s v="T1137"/>
    <x v="0"/>
    <x v="0"/>
    <x v="1"/>
    <s v="Chair"/>
    <x v="2"/>
    <n v="469732.48"/>
    <n v="193192.12"/>
    <s v="Cash"/>
    <s v="Corporate"/>
    <n v="276540.36"/>
    <n v="0.58871883843331418"/>
    <m/>
  </r>
  <r>
    <s v="T1138"/>
    <x v="93"/>
    <x v="3"/>
    <x v="2"/>
    <s v="Cabinet"/>
    <x v="4"/>
    <n v="334239.75"/>
    <n v="223746.79"/>
    <s v="Transfer"/>
    <s v="Retail"/>
    <n v="110492.95999999999"/>
    <n v="0.3305799504696853"/>
    <m/>
  </r>
  <r>
    <s v="T1139"/>
    <x v="97"/>
    <x v="3"/>
    <x v="1"/>
    <s v="Laptop"/>
    <x v="3"/>
    <n v="113166.85"/>
    <n v="87297.46"/>
    <s v="Card"/>
    <s v="Corporate"/>
    <n v="25869.39"/>
    <n v="0.22859512304177415"/>
    <m/>
  </r>
  <r>
    <s v="T1140"/>
    <x v="87"/>
    <x v="4"/>
    <x v="0"/>
    <s v="Chair"/>
    <x v="1"/>
    <n v="227502.19"/>
    <n v="165260.18"/>
    <s v="Card"/>
    <s v="Retail"/>
    <n v="62242.010000000009"/>
    <n v="0.27358861908098558"/>
    <m/>
  </r>
  <r>
    <s v="T1141"/>
    <x v="98"/>
    <x v="0"/>
    <x v="1"/>
    <s v="Printer"/>
    <x v="1"/>
    <n v="149135.44"/>
    <n v="126520.22"/>
    <s v="Card"/>
    <s v="Retail"/>
    <n v="22615.22"/>
    <n v="0.15164215829584168"/>
    <m/>
  </r>
  <r>
    <s v="T1142"/>
    <x v="77"/>
    <x v="0"/>
    <x v="1"/>
    <s v="Chair"/>
    <x v="2"/>
    <n v="214540.93"/>
    <n v="120323.53"/>
    <s v="Card"/>
    <s v="Corporate"/>
    <n v="94217.4"/>
    <n v="0.43915815970407135"/>
    <m/>
  </r>
  <r>
    <s v="T1143"/>
    <x v="84"/>
    <x v="4"/>
    <x v="2"/>
    <s v="Cabinet"/>
    <x v="4"/>
    <n v="179377.66"/>
    <n v="79593.73"/>
    <s v="Cash"/>
    <s v="Corporate"/>
    <n v="99783.930000000008"/>
    <n v="0.55627846856737906"/>
    <m/>
  </r>
  <r>
    <s v="T1144"/>
    <x v="99"/>
    <x v="0"/>
    <x v="0"/>
    <s v="Printer"/>
    <x v="0"/>
    <n v="196712.46"/>
    <n v="117489.79"/>
    <s v="Card"/>
    <s v="Retail"/>
    <n v="79222.67"/>
    <n v="0.4027333601542068"/>
    <m/>
  </r>
  <r>
    <s v="T1145"/>
    <x v="100"/>
    <x v="3"/>
    <x v="2"/>
    <s v="Cabinet"/>
    <x v="1"/>
    <n v="215335.37"/>
    <n v="162845.57999999999"/>
    <s v="Card"/>
    <s v="Corporate"/>
    <n v="52489.790000000008"/>
    <n v="0.24375832915883724"/>
    <m/>
  </r>
  <r>
    <s v="T1146"/>
    <x v="9"/>
    <x v="3"/>
    <x v="0"/>
    <s v="Chair"/>
    <x v="2"/>
    <n v="185990.09"/>
    <n v="172151.51"/>
    <s v="Transfer"/>
    <s v="Retail"/>
    <n v="13838.579999999987"/>
    <n v="7.4404932004710503E-2"/>
    <m/>
  </r>
  <r>
    <s v="T1147"/>
    <x v="7"/>
    <x v="1"/>
    <x v="1"/>
    <s v="Printer"/>
    <x v="2"/>
    <n v="392874.23999999999"/>
    <n v="248117.14"/>
    <s v="Cash"/>
    <s v="Corporate"/>
    <n v="144757.09999999998"/>
    <n v="0.3684565829513281"/>
    <m/>
  </r>
  <r>
    <s v="T1148"/>
    <x v="101"/>
    <x v="0"/>
    <x v="2"/>
    <s v="Printer"/>
    <x v="1"/>
    <n v="410693.98"/>
    <n v="278717.56"/>
    <s v="Transfer"/>
    <s v="Retail"/>
    <n v="131976.41999999998"/>
    <n v="0.32134977970702172"/>
    <m/>
  </r>
  <r>
    <s v="T1149"/>
    <x v="102"/>
    <x v="4"/>
    <x v="1"/>
    <s v="Desk"/>
    <x v="3"/>
    <n v="212036.71"/>
    <n v="110364.93"/>
    <s v="Cash"/>
    <s v="Retail"/>
    <n v="101671.78"/>
    <n v="0.47950083737858412"/>
    <m/>
  </r>
  <r>
    <s v="T1150"/>
    <x v="6"/>
    <x v="0"/>
    <x v="1"/>
    <s v="Printer"/>
    <x v="5"/>
    <n v="206403.18"/>
    <n v="138183.10999999999"/>
    <s v="Transfer"/>
    <s v="Corporate"/>
    <n v="68220.070000000007"/>
    <n v="0.33051850267035621"/>
    <m/>
  </r>
  <r>
    <s v="T1151"/>
    <x v="37"/>
    <x v="4"/>
    <x v="0"/>
    <s v="Desk"/>
    <x v="0"/>
    <n v="161340.24"/>
    <n v="69364.66"/>
    <s v="Card"/>
    <s v="Corporate"/>
    <n v="91975.579999999987"/>
    <n v="0.57007216550564199"/>
    <m/>
  </r>
  <r>
    <s v="T1152"/>
    <x v="33"/>
    <x v="2"/>
    <x v="0"/>
    <s v="Desk"/>
    <x v="5"/>
    <n v="449815.68"/>
    <n v="355688.01"/>
    <s v="Card"/>
    <s v="Retail"/>
    <n v="94127.669999999984"/>
    <n v="0.209258312204679"/>
    <m/>
  </r>
  <r>
    <s v="T1153"/>
    <x v="103"/>
    <x v="0"/>
    <x v="2"/>
    <s v="Chair"/>
    <x v="3"/>
    <n v="208184.86"/>
    <n v="171943.76"/>
    <s v="Transfer"/>
    <s v="Corporate"/>
    <n v="36241.099999999977"/>
    <n v="0.17408134289880628"/>
    <m/>
  </r>
  <r>
    <s v="T1154"/>
    <x v="104"/>
    <x v="0"/>
    <x v="1"/>
    <s v="Desk"/>
    <x v="0"/>
    <n v="468339.95"/>
    <n v="316744.90000000002"/>
    <s v="Card"/>
    <s v="Retail"/>
    <n v="151595.04999999999"/>
    <n v="0.323685925149029"/>
    <m/>
  </r>
  <r>
    <s v="T1155"/>
    <x v="65"/>
    <x v="0"/>
    <x v="2"/>
    <s v="Phone"/>
    <x v="5"/>
    <n v="346193.07"/>
    <n v="232206.44"/>
    <s v="Card"/>
    <s v="Retail"/>
    <n v="113986.63"/>
    <n v="0.32925739963541156"/>
    <m/>
  </r>
  <r>
    <s v="T1156"/>
    <x v="86"/>
    <x v="1"/>
    <x v="2"/>
    <s v="Cabinet"/>
    <x v="0"/>
    <n v="165680.95000000001"/>
    <n v="149053.43"/>
    <s v="Cash"/>
    <s v="Corporate"/>
    <n v="16627.520000000019"/>
    <n v="0.10035867128960824"/>
    <m/>
  </r>
  <r>
    <s v="T1157"/>
    <x v="105"/>
    <x v="3"/>
    <x v="2"/>
    <s v="Desk"/>
    <x v="1"/>
    <n v="348944.87"/>
    <n v="278382.03000000003"/>
    <s v="Cash"/>
    <s v="Corporate"/>
    <n v="70562.839999999967"/>
    <n v="0.20221773141413418"/>
    <m/>
  </r>
  <r>
    <s v="T1158"/>
    <x v="40"/>
    <x v="0"/>
    <x v="2"/>
    <s v="Desk"/>
    <x v="0"/>
    <n v="301641.43"/>
    <n v="267477.21000000002"/>
    <s v="Card"/>
    <s v="Corporate"/>
    <n v="34164.219999999972"/>
    <n v="0.11326103314123651"/>
    <m/>
  </r>
  <r>
    <s v="T1159"/>
    <x v="106"/>
    <x v="2"/>
    <x v="2"/>
    <s v="Chair"/>
    <x v="5"/>
    <n v="85289.5"/>
    <n v="64625.47"/>
    <s v="Card"/>
    <s v="Retail"/>
    <n v="20664.03"/>
    <n v="0.24228105452605536"/>
    <m/>
  </r>
  <r>
    <s v="T1160"/>
    <x v="63"/>
    <x v="0"/>
    <x v="1"/>
    <s v="Laptop"/>
    <x v="1"/>
    <n v="80247.98"/>
    <n v="60024.3"/>
    <s v="Card"/>
    <s v="Corporate"/>
    <n v="20223.679999999993"/>
    <n v="0.25201481707078477"/>
    <m/>
  </r>
  <r>
    <s v="T1161"/>
    <x v="107"/>
    <x v="0"/>
    <x v="1"/>
    <s v="Chair"/>
    <x v="2"/>
    <n v="370653.04"/>
    <n v="304978.49"/>
    <s v="Card"/>
    <s v="Retail"/>
    <n v="65674.549999999988"/>
    <n v="0.1771860551851942"/>
    <m/>
  </r>
  <r>
    <s v="T1162"/>
    <x v="108"/>
    <x v="1"/>
    <x v="0"/>
    <s v="Cabinet"/>
    <x v="1"/>
    <n v="369376.53"/>
    <n v="270436.75"/>
    <s v="Card"/>
    <s v="Retail"/>
    <n v="98939.780000000028"/>
    <n v="0.2678561629240494"/>
    <m/>
  </r>
  <r>
    <s v="T1163"/>
    <x v="2"/>
    <x v="0"/>
    <x v="1"/>
    <s v="Chair"/>
    <x v="5"/>
    <n v="351245.17"/>
    <n v="261198.85"/>
    <s v="Card"/>
    <s v="Retail"/>
    <n v="90046.319999999978"/>
    <n v="0.25636315511470231"/>
    <m/>
  </r>
  <r>
    <s v="T1164"/>
    <x v="59"/>
    <x v="0"/>
    <x v="2"/>
    <s v="Laptop"/>
    <x v="2"/>
    <n v="486884.54"/>
    <n v="358235.7"/>
    <s v="Card"/>
    <s v="Retail"/>
    <n v="128648.83999999997"/>
    <n v="0.26422864032610272"/>
    <m/>
  </r>
  <r>
    <s v="T1165"/>
    <x v="103"/>
    <x v="0"/>
    <x v="0"/>
    <s v="Cabinet"/>
    <x v="5"/>
    <n v="63410.45"/>
    <n v="37233.730000000003"/>
    <s v="Cash"/>
    <s v="Retail"/>
    <n v="26176.719999999994"/>
    <n v="0.41281397624524024"/>
    <m/>
  </r>
  <r>
    <s v="T1166"/>
    <x v="42"/>
    <x v="0"/>
    <x v="0"/>
    <s v="Laptop"/>
    <x v="0"/>
    <n v="166999.6"/>
    <n v="134841.04"/>
    <s v="Transfer"/>
    <s v="Retail"/>
    <n v="32158.559999999998"/>
    <n v="0.19256668878248809"/>
    <m/>
  </r>
  <r>
    <s v="T1167"/>
    <x v="40"/>
    <x v="2"/>
    <x v="1"/>
    <s v="Cabinet"/>
    <x v="4"/>
    <n v="361659.4"/>
    <n v="294740.69"/>
    <s v="Cash"/>
    <s v="Retail"/>
    <n v="66918.710000000021"/>
    <n v="0.18503240894609685"/>
    <m/>
  </r>
  <r>
    <s v="T1168"/>
    <x v="109"/>
    <x v="3"/>
    <x v="2"/>
    <s v="Printer"/>
    <x v="0"/>
    <n v="176266.8"/>
    <n v="93464.72"/>
    <s v="Card"/>
    <s v="Corporate"/>
    <n v="82802.079999999987"/>
    <n v="0.4697542588848268"/>
    <m/>
  </r>
  <r>
    <s v="T1169"/>
    <x v="70"/>
    <x v="0"/>
    <x v="1"/>
    <s v="Printer"/>
    <x v="1"/>
    <n v="60027.98"/>
    <n v="27411.29"/>
    <s v="Transfer"/>
    <s v="Retail"/>
    <n v="32616.690000000002"/>
    <n v="0.54335811399950495"/>
    <m/>
  </r>
  <r>
    <s v="T1170"/>
    <x v="14"/>
    <x v="4"/>
    <x v="0"/>
    <s v="Cabinet"/>
    <x v="3"/>
    <n v="103872.89"/>
    <n v="88633.07"/>
    <s v="Cash"/>
    <s v="Corporate"/>
    <n v="15239.819999999992"/>
    <n v="0.14671604881697228"/>
    <m/>
  </r>
  <r>
    <s v="T1171"/>
    <x v="12"/>
    <x v="1"/>
    <x v="0"/>
    <s v="Laptop"/>
    <x v="4"/>
    <n v="402668.08"/>
    <n v="276876.23"/>
    <s v="Card"/>
    <s v="Corporate"/>
    <n v="125791.85000000003"/>
    <n v="0.31239588198796397"/>
    <m/>
  </r>
  <r>
    <s v="T1172"/>
    <x v="22"/>
    <x v="4"/>
    <x v="1"/>
    <s v="Phone"/>
    <x v="4"/>
    <n v="227050.89"/>
    <n v="100231.26"/>
    <s v="Cash"/>
    <s v="Corporate"/>
    <n v="126819.63000000002"/>
    <n v="0.55855156524601168"/>
    <m/>
  </r>
  <r>
    <s v="T1173"/>
    <x v="110"/>
    <x v="3"/>
    <x v="2"/>
    <s v="Printer"/>
    <x v="3"/>
    <n v="342032.3"/>
    <n v="227141.54"/>
    <s v="Card"/>
    <s v="Corporate"/>
    <n v="114890.75999999998"/>
    <n v="0.33590617026520592"/>
    <m/>
  </r>
  <r>
    <s v="T1174"/>
    <x v="111"/>
    <x v="0"/>
    <x v="0"/>
    <s v="Laptop"/>
    <x v="0"/>
    <n v="190183"/>
    <n v="116048.24"/>
    <s v="Card"/>
    <s v="Corporate"/>
    <n v="74134.759999999995"/>
    <n v="0.38980750119621627"/>
    <m/>
  </r>
  <r>
    <s v="T1175"/>
    <x v="112"/>
    <x v="1"/>
    <x v="1"/>
    <s v="Laptop"/>
    <x v="2"/>
    <n v="446588.03"/>
    <n v="323582.37"/>
    <s v="Cash"/>
    <s v="Corporate"/>
    <n v="123005.66000000003"/>
    <n v="0.27543429679474396"/>
    <m/>
  </r>
  <r>
    <s v="T1176"/>
    <x v="46"/>
    <x v="0"/>
    <x v="1"/>
    <s v="Desk"/>
    <x v="2"/>
    <n v="418215.45"/>
    <n v="342587.46"/>
    <s v="Card"/>
    <s v="Corporate"/>
    <n v="75627.989999999991"/>
    <n v="0.1808349978462058"/>
    <m/>
  </r>
  <r>
    <s v="T1177"/>
    <x v="94"/>
    <x v="0"/>
    <x v="0"/>
    <s v="Desk"/>
    <x v="3"/>
    <n v="411169.28000000003"/>
    <n v="339037.69"/>
    <s v="Cash"/>
    <s v="Retail"/>
    <n v="72131.590000000026"/>
    <n v="0.17543039694016055"/>
    <m/>
  </r>
  <r>
    <s v="T1178"/>
    <x v="111"/>
    <x v="4"/>
    <x v="2"/>
    <s v="Cabinet"/>
    <x v="1"/>
    <n v="265239.81"/>
    <n v="143495.74"/>
    <s v="Transfer"/>
    <s v="Retail"/>
    <n v="121744.07"/>
    <n v="0.45899621930810464"/>
    <m/>
  </r>
  <r>
    <s v="T1179"/>
    <x v="44"/>
    <x v="0"/>
    <x v="1"/>
    <s v="Laptop"/>
    <x v="5"/>
    <n v="53366.13"/>
    <n v="27572.82"/>
    <s v="Transfer"/>
    <s v="Retail"/>
    <n v="25793.309999999998"/>
    <n v="0.4833273463899293"/>
    <m/>
  </r>
  <r>
    <s v="T1180"/>
    <x v="104"/>
    <x v="3"/>
    <x v="0"/>
    <s v="Desk"/>
    <x v="1"/>
    <n v="450400.71"/>
    <n v="283522.92"/>
    <s v="Transfer"/>
    <s v="Retail"/>
    <n v="166877.79000000004"/>
    <n v="0.37050960687872814"/>
    <m/>
  </r>
  <r>
    <s v="T1181"/>
    <x v="113"/>
    <x v="0"/>
    <x v="0"/>
    <s v="Desk"/>
    <x v="0"/>
    <n v="260829.21"/>
    <n v="175854.36"/>
    <s v="Transfer"/>
    <s v="Retail"/>
    <n v="84974.85"/>
    <n v="0.32578732266988047"/>
    <m/>
  </r>
  <r>
    <s v="T1182"/>
    <x v="114"/>
    <x v="0"/>
    <x v="0"/>
    <s v="Printer"/>
    <x v="2"/>
    <n v="477327.94"/>
    <n v="342837.04"/>
    <s v="Card"/>
    <s v="Retail"/>
    <n v="134490.90000000002"/>
    <n v="0.28175786231998073"/>
    <m/>
  </r>
  <r>
    <s v="T1183"/>
    <x v="88"/>
    <x v="0"/>
    <x v="2"/>
    <s v="Printer"/>
    <x v="4"/>
    <n v="298722.88"/>
    <n v="138491.85"/>
    <s v="Transfer"/>
    <s v="Corporate"/>
    <n v="160231.03"/>
    <n v="0.53638686798948909"/>
    <m/>
  </r>
  <r>
    <s v="T1184"/>
    <x v="34"/>
    <x v="2"/>
    <x v="0"/>
    <s v="Cabinet"/>
    <x v="1"/>
    <n v="282369.34000000003"/>
    <n v="234063.84"/>
    <s v="Transfer"/>
    <s v="Corporate"/>
    <n v="48305.500000000029"/>
    <n v="0.17107204344494351"/>
    <m/>
  </r>
  <r>
    <s v="T1185"/>
    <x v="69"/>
    <x v="2"/>
    <x v="2"/>
    <s v="Laptop"/>
    <x v="3"/>
    <n v="98280.85"/>
    <n v="68132.160000000003"/>
    <s v="Transfer"/>
    <s v="Retail"/>
    <n v="30148.690000000002"/>
    <n v="0.30676057441505644"/>
    <m/>
  </r>
  <r>
    <s v="T1186"/>
    <x v="115"/>
    <x v="0"/>
    <x v="1"/>
    <s v="Cabinet"/>
    <x v="3"/>
    <n v="273679.13"/>
    <n v="111993.85"/>
    <s v="Cash"/>
    <s v="Corporate"/>
    <n v="161685.28"/>
    <n v="0.59078410545955773"/>
    <m/>
  </r>
  <r>
    <s v="T1187"/>
    <x v="116"/>
    <x v="0"/>
    <x v="2"/>
    <s v="Cabinet"/>
    <x v="0"/>
    <n v="392396.42"/>
    <n v="289757.21000000002"/>
    <s v="Transfer"/>
    <s v="Corporate"/>
    <n v="102639.20999999996"/>
    <n v="0.26157019985044705"/>
    <m/>
  </r>
  <r>
    <s v="T1188"/>
    <x v="13"/>
    <x v="0"/>
    <x v="2"/>
    <s v="Laptop"/>
    <x v="0"/>
    <n v="295110.03000000003"/>
    <n v="200967.35"/>
    <s v="Card"/>
    <s v="Retail"/>
    <n v="94142.680000000022"/>
    <n v="0.31900874395899054"/>
    <m/>
  </r>
  <r>
    <s v="T1189"/>
    <x v="117"/>
    <x v="4"/>
    <x v="2"/>
    <s v="Phone"/>
    <x v="3"/>
    <n v="346767.59"/>
    <n v="204654.39"/>
    <s v="Transfer"/>
    <s v="Retail"/>
    <n v="142113.20000000001"/>
    <n v="0.40982261346857707"/>
    <m/>
  </r>
  <r>
    <s v="T1190"/>
    <x v="89"/>
    <x v="3"/>
    <x v="0"/>
    <s v="Printer"/>
    <x v="0"/>
    <n v="128868.48"/>
    <n v="84501.72"/>
    <s v="Card"/>
    <s v="Retail"/>
    <n v="44366.759999999995"/>
    <n v="0.34427937692754657"/>
    <m/>
  </r>
  <r>
    <s v="T1191"/>
    <x v="118"/>
    <x v="1"/>
    <x v="0"/>
    <s v="Laptop"/>
    <x v="2"/>
    <n v="111782.03"/>
    <n v="83694.350000000006"/>
    <s v="Card"/>
    <s v="Retail"/>
    <n v="28087.679999999993"/>
    <n v="0.25127187258989653"/>
    <m/>
  </r>
  <r>
    <s v="T1192"/>
    <x v="68"/>
    <x v="3"/>
    <x v="1"/>
    <s v="Printer"/>
    <x v="1"/>
    <n v="395981.19"/>
    <n v="227408.52"/>
    <s v="Transfer"/>
    <s v="Corporate"/>
    <n v="168572.67"/>
    <n v="0.42570878177319488"/>
    <m/>
  </r>
  <r>
    <s v="T1193"/>
    <x v="119"/>
    <x v="0"/>
    <x v="2"/>
    <s v="Laptop"/>
    <x v="0"/>
    <n v="287572.07"/>
    <n v="187963.7"/>
    <s v="Transfer"/>
    <s v="Corporate"/>
    <n v="99608.37"/>
    <n v="0.3463770664515507"/>
    <m/>
  </r>
  <r>
    <s v="T1194"/>
    <x v="46"/>
    <x v="4"/>
    <x v="1"/>
    <s v="Printer"/>
    <x v="4"/>
    <n v="214314.38"/>
    <n v="170869.29"/>
    <s v="Card"/>
    <s v="Retail"/>
    <n v="43445.09"/>
    <n v="0.20271663525331335"/>
    <m/>
  </r>
  <r>
    <s v="T1195"/>
    <x v="120"/>
    <x v="4"/>
    <x v="0"/>
    <s v="Laptop"/>
    <x v="5"/>
    <n v="255227.84"/>
    <n v="164625.74"/>
    <s v="Card"/>
    <s v="Retail"/>
    <n v="90602.1"/>
    <n v="0.35498517716562583"/>
    <m/>
  </r>
  <r>
    <s v="T1196"/>
    <x v="114"/>
    <x v="2"/>
    <x v="0"/>
    <s v="Desk"/>
    <x v="4"/>
    <n v="451461.34"/>
    <n v="279974.28999999998"/>
    <s v="Cash"/>
    <s v="Corporate"/>
    <n v="171487.05000000005"/>
    <n v="0.37984880388650782"/>
    <m/>
  </r>
  <r>
    <s v="T1197"/>
    <x v="19"/>
    <x v="2"/>
    <x v="0"/>
    <s v="Phone"/>
    <x v="1"/>
    <n v="414325.37"/>
    <n v="305174.51"/>
    <s v="Transfer"/>
    <s v="Retail"/>
    <n v="109150.85999999999"/>
    <n v="0.26344237621751232"/>
    <m/>
  </r>
  <r>
    <s v="T1198"/>
    <x v="24"/>
    <x v="0"/>
    <x v="1"/>
    <s v="Cabinet"/>
    <x v="3"/>
    <n v="477772.39"/>
    <n v="252617.42"/>
    <s v="Transfer"/>
    <s v="Retail"/>
    <n v="225154.97"/>
    <n v="0.47125990264946033"/>
    <m/>
  </r>
  <r>
    <s v="T1199"/>
    <x v="113"/>
    <x v="1"/>
    <x v="1"/>
    <s v="Cabinet"/>
    <x v="5"/>
    <n v="332226.03999999998"/>
    <n v="235178.93"/>
    <s v="Cash"/>
    <s v="Corporate"/>
    <n v="97047.109999999986"/>
    <n v="0.29211168998071313"/>
    <m/>
  </r>
  <r>
    <s v="T1200"/>
    <x v="53"/>
    <x v="3"/>
    <x v="2"/>
    <s v="Cabinet"/>
    <x v="0"/>
    <n v="129916.97"/>
    <n v="54224.76"/>
    <s v="Transfer"/>
    <s v="Corporate"/>
    <n v="75692.209999999992"/>
    <n v="0.58261988406903265"/>
    <m/>
  </r>
  <r>
    <s v="T1201"/>
    <x v="72"/>
    <x v="0"/>
    <x v="0"/>
    <s v="Desk"/>
    <x v="3"/>
    <n v="131295.17000000001"/>
    <n v="54790.91"/>
    <s v="Cash"/>
    <s v="Retail"/>
    <n v="76504.260000000009"/>
    <n v="0.58268906617052252"/>
    <m/>
  </r>
  <r>
    <s v="T1202"/>
    <x v="121"/>
    <x v="0"/>
    <x v="2"/>
    <s v="Laptop"/>
    <x v="2"/>
    <n v="153136.53"/>
    <n v="83308.479999999996"/>
    <s v="Cash"/>
    <s v="Retail"/>
    <n v="69828.05"/>
    <n v="0.45598558358348595"/>
    <m/>
  </r>
  <r>
    <s v="T1203"/>
    <x v="122"/>
    <x v="0"/>
    <x v="1"/>
    <s v="Phone"/>
    <x v="2"/>
    <n v="416535.42"/>
    <n v="167103.72"/>
    <s v="Cash"/>
    <s v="Corporate"/>
    <n v="249431.69999999998"/>
    <n v="0.59882470499147467"/>
    <m/>
  </r>
  <r>
    <s v="T1204"/>
    <x v="123"/>
    <x v="0"/>
    <x v="1"/>
    <s v="Printer"/>
    <x v="1"/>
    <n v="463512.82"/>
    <n v="343003.28"/>
    <s v="Cash"/>
    <s v="Corporate"/>
    <n v="120509.53999999998"/>
    <n v="0.25999181640758068"/>
    <m/>
  </r>
  <r>
    <s v="T1205"/>
    <x v="21"/>
    <x v="2"/>
    <x v="0"/>
    <s v="Laptop"/>
    <x v="4"/>
    <n v="413927.96"/>
    <n v="249948.51"/>
    <s v="Transfer"/>
    <s v="Corporate"/>
    <n v="163979.45000000001"/>
    <n v="0.39615456274082089"/>
    <m/>
  </r>
  <r>
    <s v="T1206"/>
    <x v="98"/>
    <x v="2"/>
    <x v="0"/>
    <s v="Phone"/>
    <x v="0"/>
    <n v="266121.26"/>
    <n v="199737.11"/>
    <s v="Cash"/>
    <s v="Corporate"/>
    <n v="66384.150000000023"/>
    <n v="0.24945075789886167"/>
    <m/>
  </r>
  <r>
    <s v="T1207"/>
    <x v="56"/>
    <x v="0"/>
    <x v="0"/>
    <s v="Chair"/>
    <x v="1"/>
    <n v="125727.98"/>
    <n v="59125.61"/>
    <s v="Transfer"/>
    <s v="Corporate"/>
    <n v="66602.37"/>
    <n v="0.52973387467133404"/>
    <m/>
  </r>
  <r>
    <s v="T1208"/>
    <x v="124"/>
    <x v="0"/>
    <x v="0"/>
    <s v="Desk"/>
    <x v="3"/>
    <n v="493830.84"/>
    <n v="291368.74"/>
    <s v="Card"/>
    <s v="Corporate"/>
    <n v="202462.10000000003"/>
    <n v="0.40998269771891932"/>
    <m/>
  </r>
  <r>
    <s v="T1209"/>
    <x v="60"/>
    <x v="3"/>
    <x v="0"/>
    <s v="Phone"/>
    <x v="1"/>
    <n v="311761.15999999997"/>
    <n v="201229.11"/>
    <s v="Cash"/>
    <s v="Retail"/>
    <n v="110532.04999999999"/>
    <n v="0.35454079655079546"/>
    <m/>
  </r>
  <r>
    <s v="T1210"/>
    <x v="23"/>
    <x v="0"/>
    <x v="1"/>
    <s v="Printer"/>
    <x v="5"/>
    <n v="377361.62"/>
    <n v="299172.49"/>
    <s v="Transfer"/>
    <s v="Corporate"/>
    <n v="78189.13"/>
    <n v="0.20719947619474394"/>
    <m/>
  </r>
  <r>
    <s v="T1211"/>
    <x v="125"/>
    <x v="4"/>
    <x v="1"/>
    <s v="Cabinet"/>
    <x v="2"/>
    <n v="417698.54"/>
    <n v="262445.88"/>
    <s v="Cash"/>
    <s v="Retail"/>
    <n v="155252.65999999997"/>
    <n v="0.37168590534216372"/>
    <m/>
  </r>
  <r>
    <s v="T1212"/>
    <x v="126"/>
    <x v="0"/>
    <x v="1"/>
    <s v="Chair"/>
    <x v="0"/>
    <n v="57628.18"/>
    <n v="33928.120000000003"/>
    <s v="Cash"/>
    <s v="Retail"/>
    <n v="23700.059999999998"/>
    <n v="0.41125817265094955"/>
    <m/>
  </r>
  <r>
    <s v="T1213"/>
    <x v="17"/>
    <x v="2"/>
    <x v="1"/>
    <s v="Laptop"/>
    <x v="4"/>
    <n v="57997.53"/>
    <n v="23368.45"/>
    <s v="Card"/>
    <s v="Corporate"/>
    <n v="34629.08"/>
    <n v="0.59707853075812023"/>
    <m/>
  </r>
  <r>
    <s v="T1214"/>
    <x v="91"/>
    <x v="3"/>
    <x v="1"/>
    <s v="Chair"/>
    <x v="5"/>
    <n v="441230.23"/>
    <n v="325972.89"/>
    <s v="Transfer"/>
    <s v="Corporate"/>
    <n v="115257.33999999997"/>
    <n v="0.26121814001728749"/>
    <m/>
  </r>
  <r>
    <s v="T1215"/>
    <x v="127"/>
    <x v="3"/>
    <x v="0"/>
    <s v="Chair"/>
    <x v="0"/>
    <n v="124722"/>
    <n v="96895.23"/>
    <s v="Transfer"/>
    <s v="Retail"/>
    <n v="27826.770000000004"/>
    <n v="0.22311035743493532"/>
    <m/>
  </r>
  <r>
    <s v="T1216"/>
    <x v="128"/>
    <x v="1"/>
    <x v="0"/>
    <s v="Chair"/>
    <x v="2"/>
    <n v="472735.1"/>
    <n v="211745.16"/>
    <s v="Cash"/>
    <s v="Retail"/>
    <n v="260989.93999999997"/>
    <n v="0.55208496259321549"/>
    <m/>
  </r>
  <r>
    <s v="T1217"/>
    <x v="71"/>
    <x v="0"/>
    <x v="2"/>
    <s v="Laptop"/>
    <x v="5"/>
    <n v="107310.35"/>
    <n v="88254.04"/>
    <s v="Card"/>
    <s v="Corporate"/>
    <n v="19056.310000000012"/>
    <n v="0.17758128642763732"/>
    <m/>
  </r>
  <r>
    <s v="T1218"/>
    <x v="55"/>
    <x v="4"/>
    <x v="2"/>
    <s v="Laptop"/>
    <x v="3"/>
    <n v="145568.67000000001"/>
    <n v="66446.740000000005"/>
    <s v="Card"/>
    <s v="Retail"/>
    <n v="79121.930000000008"/>
    <n v="0.54353680637461343"/>
    <m/>
  </r>
  <r>
    <s v="T1219"/>
    <x v="112"/>
    <x v="0"/>
    <x v="0"/>
    <s v="Phone"/>
    <x v="5"/>
    <n v="198266.43"/>
    <n v="131057.38"/>
    <s v="Transfer"/>
    <s v="Corporate"/>
    <n v="67209.049999999988"/>
    <n v="0.33898350820156486"/>
    <m/>
  </r>
  <r>
    <s v="T1220"/>
    <x v="38"/>
    <x v="0"/>
    <x v="2"/>
    <s v="Laptop"/>
    <x v="4"/>
    <n v="334984.53999999998"/>
    <n v="199209.94"/>
    <s v="Transfer"/>
    <s v="Retail"/>
    <n v="135774.59999999998"/>
    <n v="0.40531601846461329"/>
    <m/>
  </r>
  <r>
    <s v="T1221"/>
    <x v="31"/>
    <x v="0"/>
    <x v="1"/>
    <s v="Phone"/>
    <x v="2"/>
    <n v="215245.7"/>
    <n v="88851.37"/>
    <s v="Cash"/>
    <s v="Corporate"/>
    <n v="126394.33000000002"/>
    <n v="0.58720954704321626"/>
    <m/>
  </r>
  <r>
    <s v="T1222"/>
    <x v="17"/>
    <x v="1"/>
    <x v="0"/>
    <s v="Desk"/>
    <x v="0"/>
    <n v="492517.41"/>
    <n v="367255.13"/>
    <s v="Cash"/>
    <s v="Retail"/>
    <n v="125262.27999999997"/>
    <n v="0.25433066416880568"/>
    <m/>
  </r>
  <r>
    <s v="T1223"/>
    <x v="63"/>
    <x v="0"/>
    <x v="1"/>
    <s v="Laptop"/>
    <x v="5"/>
    <n v="419941.83"/>
    <n v="286478.56"/>
    <s v="Card"/>
    <s v="Corporate"/>
    <n v="133463.27000000002"/>
    <n v="0.31781370767470346"/>
    <m/>
  </r>
  <r>
    <s v="T1224"/>
    <x v="6"/>
    <x v="3"/>
    <x v="1"/>
    <s v="Printer"/>
    <x v="5"/>
    <n v="59612.62"/>
    <n v="42088.88"/>
    <s v="Cash"/>
    <s v="Retail"/>
    <n v="17523.740000000005"/>
    <n v="0.29396023862061432"/>
    <m/>
  </r>
  <r>
    <s v="T1225"/>
    <x v="129"/>
    <x v="3"/>
    <x v="2"/>
    <s v="Cabinet"/>
    <x v="4"/>
    <n v="389944.97"/>
    <n v="310429.21999999997"/>
    <s v="Cash"/>
    <s v="Retail"/>
    <n v="79515.75"/>
    <n v="0.20391531143484171"/>
    <m/>
  </r>
  <r>
    <s v="T1226"/>
    <x v="130"/>
    <x v="0"/>
    <x v="1"/>
    <s v="Chair"/>
    <x v="5"/>
    <n v="329296.08"/>
    <n v="138328.24"/>
    <s v="Cash"/>
    <s v="Corporate"/>
    <n v="190967.84000000003"/>
    <n v="0.57992746224006075"/>
    <m/>
  </r>
  <r>
    <s v="T1227"/>
    <x v="16"/>
    <x v="1"/>
    <x v="2"/>
    <s v="Printer"/>
    <x v="2"/>
    <n v="288499.15000000002"/>
    <n v="157479.71"/>
    <s v="Card"/>
    <s v="Retail"/>
    <n v="131019.44000000003"/>
    <n v="0.45414151133547542"/>
    <m/>
  </r>
  <r>
    <s v="T1228"/>
    <x v="131"/>
    <x v="3"/>
    <x v="2"/>
    <s v="Chair"/>
    <x v="3"/>
    <n v="384059.43"/>
    <n v="159166.04999999999"/>
    <s v="Card"/>
    <s v="Corporate"/>
    <n v="224893.38"/>
    <n v="0.58556921776403204"/>
    <m/>
  </r>
  <r>
    <s v="T1229"/>
    <x v="15"/>
    <x v="2"/>
    <x v="2"/>
    <s v="Printer"/>
    <x v="1"/>
    <n v="467948.23"/>
    <n v="299318.28000000003"/>
    <s v="Transfer"/>
    <s v="Retail"/>
    <n v="168629.94999999995"/>
    <n v="0.36036026891265294"/>
    <m/>
  </r>
  <r>
    <s v="T1230"/>
    <x v="114"/>
    <x v="0"/>
    <x v="2"/>
    <s v="Printer"/>
    <x v="5"/>
    <n v="323217.43"/>
    <n v="233771.35"/>
    <s v="Cash"/>
    <s v="Retail"/>
    <n v="89446.079999999987"/>
    <n v="0.2767365608964838"/>
    <m/>
  </r>
  <r>
    <s v="T1231"/>
    <x v="85"/>
    <x v="0"/>
    <x v="0"/>
    <s v="Phone"/>
    <x v="4"/>
    <n v="144506.32999999999"/>
    <n v="130445.53"/>
    <s v="Card"/>
    <s v="Retail"/>
    <n v="14060.799999999988"/>
    <n v="9.7302311947165154E-2"/>
    <m/>
  </r>
  <r>
    <s v="T1232"/>
    <x v="14"/>
    <x v="4"/>
    <x v="2"/>
    <s v="Cabinet"/>
    <x v="3"/>
    <n v="341512.57"/>
    <n v="203421.27"/>
    <s v="Transfer"/>
    <s v="Corporate"/>
    <n v="138091.30000000002"/>
    <n v="0.40435202721820757"/>
    <m/>
  </r>
  <r>
    <s v="T1233"/>
    <x v="132"/>
    <x v="1"/>
    <x v="0"/>
    <s v="Laptop"/>
    <x v="4"/>
    <n v="79475.63"/>
    <n v="37896.75"/>
    <s v="Transfer"/>
    <s v="Retail"/>
    <n v="41578.880000000005"/>
    <n v="0.52316515138036657"/>
    <m/>
  </r>
  <r>
    <s v="T1234"/>
    <x v="133"/>
    <x v="4"/>
    <x v="1"/>
    <s v="Phone"/>
    <x v="3"/>
    <n v="197177.87"/>
    <n v="173007.11"/>
    <s v="Transfer"/>
    <s v="Retail"/>
    <n v="24170.760000000009"/>
    <n v="0.12258353333464861"/>
    <m/>
  </r>
  <r>
    <s v="T1235"/>
    <x v="29"/>
    <x v="3"/>
    <x v="2"/>
    <s v="Laptop"/>
    <x v="0"/>
    <n v="55828.69"/>
    <n v="40586.639999999999"/>
    <s v="Card"/>
    <s v="Retail"/>
    <n v="15242.050000000003"/>
    <n v="0.27301464533737047"/>
    <m/>
  </r>
  <r>
    <s v="T1236"/>
    <x v="134"/>
    <x v="4"/>
    <x v="2"/>
    <s v="Printer"/>
    <x v="0"/>
    <n v="322946.90000000002"/>
    <n v="165425.82"/>
    <s v="Transfer"/>
    <s v="Corporate"/>
    <n v="157521.08000000002"/>
    <n v="0.48776154841554448"/>
    <m/>
  </r>
  <r>
    <s v="T1237"/>
    <x v="50"/>
    <x v="0"/>
    <x v="1"/>
    <s v="Laptop"/>
    <x v="2"/>
    <n v="109086.33"/>
    <n v="96596.02"/>
    <s v="Transfer"/>
    <s v="Corporate"/>
    <n v="12490.309999999998"/>
    <n v="0.11449931444205702"/>
    <m/>
  </r>
  <r>
    <s v="T1238"/>
    <x v="123"/>
    <x v="0"/>
    <x v="1"/>
    <s v="Laptop"/>
    <x v="4"/>
    <n v="78267.98"/>
    <n v="38161.879999999997"/>
    <s v="Cash"/>
    <s v="Corporate"/>
    <n v="40106.1"/>
    <n v="0.5124202771043791"/>
    <m/>
  </r>
  <r>
    <s v="T1239"/>
    <x v="12"/>
    <x v="4"/>
    <x v="2"/>
    <s v="Phone"/>
    <x v="3"/>
    <n v="246578.76"/>
    <n v="138955.25"/>
    <s v="Transfer"/>
    <s v="Corporate"/>
    <n v="107623.51000000001"/>
    <n v="0.43646707445523697"/>
    <m/>
  </r>
  <r>
    <s v="T1240"/>
    <x v="0"/>
    <x v="0"/>
    <x v="1"/>
    <s v="Chair"/>
    <x v="3"/>
    <n v="353180.91"/>
    <n v="179454.38"/>
    <s v="Cash"/>
    <s v="Retail"/>
    <n v="173726.52999999997"/>
    <n v="0.49189105379449866"/>
    <m/>
  </r>
  <r>
    <s v="T1241"/>
    <x v="92"/>
    <x v="0"/>
    <x v="1"/>
    <s v="Cabinet"/>
    <x v="2"/>
    <n v="479309.43"/>
    <n v="429805.75"/>
    <s v="Card"/>
    <s v="Retail"/>
    <n v="49503.679999999993"/>
    <n v="0.10328125611882912"/>
    <m/>
  </r>
  <r>
    <s v="T1242"/>
    <x v="124"/>
    <x v="0"/>
    <x v="0"/>
    <s v="Cabinet"/>
    <x v="4"/>
    <n v="253176.53"/>
    <n v="117603.19"/>
    <s v="Cash"/>
    <s v="Corporate"/>
    <n v="135573.34"/>
    <n v="0.53548936783358236"/>
    <m/>
  </r>
  <r>
    <s v="T1243"/>
    <x v="61"/>
    <x v="0"/>
    <x v="1"/>
    <s v="Desk"/>
    <x v="3"/>
    <n v="230292.45"/>
    <n v="210694.04"/>
    <s v="Transfer"/>
    <s v="Retail"/>
    <n v="19598.410000000003"/>
    <n v="8.5102268875944492E-2"/>
    <m/>
  </r>
  <r>
    <s v="T1244"/>
    <x v="49"/>
    <x v="0"/>
    <x v="2"/>
    <s v="Printer"/>
    <x v="5"/>
    <n v="456624.8"/>
    <n v="361076.33"/>
    <s v="Transfer"/>
    <s v="Retail"/>
    <n v="95548.469999999972"/>
    <n v="0.20924941001890388"/>
    <m/>
  </r>
  <r>
    <s v="T1245"/>
    <x v="69"/>
    <x v="0"/>
    <x v="0"/>
    <s v="Desk"/>
    <x v="1"/>
    <n v="326756.42"/>
    <n v="217255.57"/>
    <s v="Card"/>
    <s v="Corporate"/>
    <n v="109500.84999999998"/>
    <n v="0.3351146092248164"/>
    <m/>
  </r>
  <r>
    <s v="T1246"/>
    <x v="85"/>
    <x v="0"/>
    <x v="2"/>
    <s v="Desk"/>
    <x v="5"/>
    <n v="236185.38"/>
    <n v="172118.1"/>
    <s v="Cash"/>
    <s v="Retail"/>
    <n v="64067.28"/>
    <n v="0.27125844961275758"/>
    <m/>
  </r>
  <r>
    <s v="T1247"/>
    <x v="65"/>
    <x v="4"/>
    <x v="2"/>
    <s v="Cabinet"/>
    <x v="0"/>
    <n v="298526.21000000002"/>
    <n v="262475.55"/>
    <s v="Card"/>
    <s v="Retail"/>
    <n v="36050.660000000033"/>
    <n v="0.12076212671577491"/>
    <m/>
  </r>
  <r>
    <s v="T1248"/>
    <x v="51"/>
    <x v="3"/>
    <x v="0"/>
    <s v="Desk"/>
    <x v="3"/>
    <n v="409381.83"/>
    <n v="166032.84"/>
    <s v="Transfer"/>
    <s v="Retail"/>
    <n v="243348.99000000002"/>
    <n v="0.59443036345799716"/>
    <m/>
  </r>
  <r>
    <s v="T1249"/>
    <x v="8"/>
    <x v="4"/>
    <x v="1"/>
    <s v="Cabinet"/>
    <x v="5"/>
    <n v="215384.53"/>
    <n v="91159.62"/>
    <s v="Card"/>
    <s v="Retail"/>
    <n v="124224.91"/>
    <n v="0.57675873935792887"/>
    <m/>
  </r>
  <r>
    <s v="T1250"/>
    <x v="135"/>
    <x v="0"/>
    <x v="2"/>
    <s v="Desk"/>
    <x v="3"/>
    <n v="370689.76"/>
    <n v="242682.92"/>
    <s v="Cash"/>
    <s v="Retail"/>
    <n v="128006.84"/>
    <n v="0.34532068002094257"/>
    <m/>
  </r>
  <r>
    <s v="T1251"/>
    <x v="34"/>
    <x v="3"/>
    <x v="0"/>
    <s v="Cabinet"/>
    <x v="5"/>
    <n v="230786.41"/>
    <n v="94375.12"/>
    <s v="Transfer"/>
    <s v="Retail"/>
    <n v="136411.29"/>
    <n v="0.59107158866070153"/>
    <m/>
  </r>
  <r>
    <s v="T1252"/>
    <x v="92"/>
    <x v="3"/>
    <x v="1"/>
    <s v="Cabinet"/>
    <x v="0"/>
    <n v="345496.15"/>
    <n v="158491.75"/>
    <s v="Card"/>
    <s v="Corporate"/>
    <n v="187004.40000000002"/>
    <n v="0.54126333969278673"/>
    <m/>
  </r>
  <r>
    <s v="T1253"/>
    <x v="136"/>
    <x v="0"/>
    <x v="2"/>
    <s v="Cabinet"/>
    <x v="1"/>
    <n v="266046.40999999997"/>
    <n v="216575.22"/>
    <s v="Transfer"/>
    <s v="Corporate"/>
    <n v="49471.189999999973"/>
    <n v="0.18594947400342662"/>
    <m/>
  </r>
  <r>
    <s v="T1254"/>
    <x v="137"/>
    <x v="3"/>
    <x v="1"/>
    <s v="Desk"/>
    <x v="2"/>
    <n v="494127.8"/>
    <n v="281708.42"/>
    <s v="Card"/>
    <s v="Corporate"/>
    <n v="212419.38"/>
    <n v="0.4298875311204915"/>
    <m/>
  </r>
  <r>
    <s v="T1255"/>
    <x v="69"/>
    <x v="2"/>
    <x v="2"/>
    <s v="Phone"/>
    <x v="1"/>
    <n v="467325.31"/>
    <n v="244098.87"/>
    <s v="Cash"/>
    <s v="Retail"/>
    <n v="223226.44"/>
    <n v="0.47766820076575778"/>
    <m/>
  </r>
  <r>
    <s v="T1256"/>
    <x v="11"/>
    <x v="2"/>
    <x v="2"/>
    <s v="Printer"/>
    <x v="2"/>
    <n v="306325.37"/>
    <n v="180928.59"/>
    <s v="Card"/>
    <s v="Retail"/>
    <n v="125396.78"/>
    <n v="0.40935812792783044"/>
    <m/>
  </r>
  <r>
    <s v="T1257"/>
    <x v="64"/>
    <x v="3"/>
    <x v="1"/>
    <s v="Printer"/>
    <x v="1"/>
    <n v="400588.29"/>
    <n v="365199.62"/>
    <s v="Transfer"/>
    <s v="Retail"/>
    <n v="35388.669999999984"/>
    <n v="8.8341748581816967E-2"/>
    <m/>
  </r>
  <r>
    <s v="T1258"/>
    <x v="42"/>
    <x v="0"/>
    <x v="2"/>
    <s v="Desk"/>
    <x v="3"/>
    <n v="401133.79"/>
    <n v="212656.28"/>
    <s v="Cash"/>
    <s v="Corporate"/>
    <n v="188477.50999999998"/>
    <n v="0.46986196301239042"/>
    <m/>
  </r>
  <r>
    <s v="T1259"/>
    <x v="41"/>
    <x v="3"/>
    <x v="2"/>
    <s v="Desk"/>
    <x v="0"/>
    <n v="142803.21"/>
    <n v="113465.52"/>
    <s v="Cash"/>
    <s v="Retail"/>
    <n v="29337.689999999988"/>
    <n v="0.20544139028807537"/>
    <m/>
  </r>
  <r>
    <s v="T1260"/>
    <x v="29"/>
    <x v="4"/>
    <x v="0"/>
    <s v="Cabinet"/>
    <x v="2"/>
    <n v="356760.16"/>
    <n v="246526.32"/>
    <s v="Card"/>
    <s v="Corporate"/>
    <n v="110233.83999999997"/>
    <n v="0.30898584640168336"/>
    <m/>
  </r>
  <r>
    <s v="T1261"/>
    <x v="18"/>
    <x v="0"/>
    <x v="2"/>
    <s v="Chair"/>
    <x v="2"/>
    <n v="446425.89"/>
    <n v="298197.40000000002"/>
    <s v="Cash"/>
    <s v="Corporate"/>
    <n v="148228.49"/>
    <n v="0.33203381192788795"/>
    <m/>
  </r>
  <r>
    <s v="T1262"/>
    <x v="138"/>
    <x v="0"/>
    <x v="0"/>
    <s v="Cabinet"/>
    <x v="0"/>
    <n v="360944.12"/>
    <n v="324227.40000000002"/>
    <s v="Card"/>
    <s v="Corporate"/>
    <n v="36716.719999999972"/>
    <n v="0.10172411175447317"/>
    <m/>
  </r>
  <r>
    <s v="T1263"/>
    <x v="139"/>
    <x v="0"/>
    <x v="1"/>
    <s v="Printer"/>
    <x v="4"/>
    <n v="155348.57"/>
    <n v="75189.81"/>
    <s v="Card"/>
    <s v="Retail"/>
    <n v="80158.760000000009"/>
    <n v="0.51599290550276711"/>
    <m/>
  </r>
  <r>
    <s v="T1264"/>
    <x v="42"/>
    <x v="0"/>
    <x v="1"/>
    <s v="Laptop"/>
    <x v="4"/>
    <n v="460913.63"/>
    <n v="407640.41"/>
    <s v="Cash"/>
    <s v="Corporate"/>
    <n v="53273.22000000003"/>
    <n v="0.1155817848129161"/>
    <m/>
  </r>
  <r>
    <s v="T1265"/>
    <x v="31"/>
    <x v="1"/>
    <x v="2"/>
    <s v="Cabinet"/>
    <x v="1"/>
    <n v="145693.01"/>
    <n v="96927.43"/>
    <s v="Transfer"/>
    <s v="Retail"/>
    <n v="48765.580000000016"/>
    <n v="0.33471461671359531"/>
    <m/>
  </r>
  <r>
    <s v="T1266"/>
    <x v="100"/>
    <x v="0"/>
    <x v="2"/>
    <s v="Laptop"/>
    <x v="1"/>
    <n v="76523.39"/>
    <n v="66121.899999999994"/>
    <s v="Card"/>
    <s v="Corporate"/>
    <n v="10401.490000000005"/>
    <n v="0.1359256300589925"/>
    <m/>
  </r>
  <r>
    <s v="T1267"/>
    <x v="115"/>
    <x v="0"/>
    <x v="2"/>
    <s v="Desk"/>
    <x v="2"/>
    <n v="341283.72"/>
    <n v="179907.23"/>
    <s v="Cash"/>
    <s v="Retail"/>
    <n v="161376.48999999996"/>
    <n v="0.47285141523891022"/>
    <m/>
  </r>
  <r>
    <s v="T1268"/>
    <x v="134"/>
    <x v="2"/>
    <x v="2"/>
    <s v="Cabinet"/>
    <x v="5"/>
    <n v="268338.62"/>
    <n v="124752.58"/>
    <s v="Cash"/>
    <s v="Retail"/>
    <n v="143586.03999999998"/>
    <n v="0.53509271233488487"/>
    <m/>
  </r>
  <r>
    <s v="T1269"/>
    <x v="140"/>
    <x v="0"/>
    <x v="2"/>
    <s v="Chair"/>
    <x v="4"/>
    <n v="261166.05"/>
    <n v="142289.04"/>
    <s v="Cash"/>
    <s v="Retail"/>
    <n v="118877.00999999998"/>
    <n v="0.45517788395543751"/>
    <m/>
  </r>
  <r>
    <s v="T1270"/>
    <x v="77"/>
    <x v="3"/>
    <x v="1"/>
    <s v="Printer"/>
    <x v="5"/>
    <n v="218807.42"/>
    <n v="93271.69"/>
    <s v="Card"/>
    <s v="Corporate"/>
    <n v="125535.73000000001"/>
    <n v="0.57372702443088996"/>
    <m/>
  </r>
  <r>
    <s v="T1271"/>
    <x v="36"/>
    <x v="1"/>
    <x v="0"/>
    <s v="Laptop"/>
    <x v="4"/>
    <n v="211504.16"/>
    <n v="147067.25"/>
    <s v="Transfer"/>
    <s v="Corporate"/>
    <n v="64436.91"/>
    <n v="0.30466024876295578"/>
    <m/>
  </r>
  <r>
    <s v="T1272"/>
    <x v="21"/>
    <x v="3"/>
    <x v="2"/>
    <s v="Printer"/>
    <x v="4"/>
    <n v="85898.8"/>
    <n v="79876.649999999994"/>
    <s v="Card"/>
    <s v="Retail"/>
    <n v="6022.1500000000087"/>
    <n v="7.0107498591365752E-2"/>
    <m/>
  </r>
  <r>
    <s v="T1273"/>
    <x v="68"/>
    <x v="0"/>
    <x v="2"/>
    <s v="Printer"/>
    <x v="3"/>
    <n v="162245.98000000001"/>
    <n v="116495.81"/>
    <s v="Transfer"/>
    <s v="Corporate"/>
    <n v="45750.170000000013"/>
    <n v="0.28198029929616752"/>
    <m/>
  </r>
  <r>
    <s v="T1274"/>
    <x v="141"/>
    <x v="2"/>
    <x v="0"/>
    <s v="Cabinet"/>
    <x v="1"/>
    <n v="281051.36"/>
    <n v="173039.54"/>
    <s v="Transfer"/>
    <s v="Corporate"/>
    <n v="108011.81999999998"/>
    <n v="0.38431345786762955"/>
    <m/>
  </r>
  <r>
    <s v="T1275"/>
    <x v="3"/>
    <x v="4"/>
    <x v="2"/>
    <s v="Printer"/>
    <x v="5"/>
    <n v="327677.40999999997"/>
    <n v="286424.15999999997"/>
    <s v="Transfer"/>
    <s v="Retail"/>
    <n v="41253.25"/>
    <n v="0.12589592306653061"/>
    <m/>
  </r>
  <r>
    <s v="T1276"/>
    <x v="79"/>
    <x v="1"/>
    <x v="1"/>
    <s v="Phone"/>
    <x v="4"/>
    <n v="123869.28"/>
    <n v="81414.38"/>
    <s v="Cash"/>
    <s v="Retail"/>
    <n v="42454.899999999994"/>
    <n v="0.34273953961789394"/>
    <m/>
  </r>
  <r>
    <s v="T1277"/>
    <x v="84"/>
    <x v="0"/>
    <x v="1"/>
    <s v="Laptop"/>
    <x v="2"/>
    <n v="164867.26"/>
    <n v="121517.13"/>
    <s v="Card"/>
    <s v="Retail"/>
    <n v="43350.130000000005"/>
    <n v="0.2629395915235081"/>
    <m/>
  </r>
  <r>
    <s v="T1278"/>
    <x v="10"/>
    <x v="3"/>
    <x v="0"/>
    <s v="Laptop"/>
    <x v="5"/>
    <n v="327426.78000000003"/>
    <n v="200789.19"/>
    <s v="Transfer"/>
    <s v="Corporate"/>
    <n v="126637.59000000003"/>
    <n v="0.38676613440110186"/>
    <m/>
  </r>
  <r>
    <s v="T1279"/>
    <x v="141"/>
    <x v="3"/>
    <x v="1"/>
    <s v="Phone"/>
    <x v="3"/>
    <n v="205220.82"/>
    <n v="180064.05"/>
    <s v="Card"/>
    <s v="Retail"/>
    <n v="25156.770000000019"/>
    <n v="0.12258390742225871"/>
    <m/>
  </r>
  <r>
    <s v="T1280"/>
    <x v="78"/>
    <x v="0"/>
    <x v="1"/>
    <s v="Phone"/>
    <x v="5"/>
    <n v="480857.59999999998"/>
    <n v="372757.51"/>
    <s v="Transfer"/>
    <s v="Retail"/>
    <n v="108100.08999999997"/>
    <n v="0.22480686589959267"/>
    <m/>
  </r>
  <r>
    <s v="T1281"/>
    <x v="16"/>
    <x v="3"/>
    <x v="1"/>
    <s v="Laptop"/>
    <x v="2"/>
    <n v="148697.10999999999"/>
    <n v="102641.82"/>
    <s v="Card"/>
    <s v="Retail"/>
    <n v="46055.289999999979"/>
    <n v="0.30972552190153518"/>
    <m/>
  </r>
  <r>
    <s v="T1282"/>
    <x v="83"/>
    <x v="2"/>
    <x v="1"/>
    <s v="Desk"/>
    <x v="3"/>
    <n v="435832.82"/>
    <n v="290973.87"/>
    <s v="Cash"/>
    <s v="Corporate"/>
    <n v="144858.95000000001"/>
    <n v="0.33237274329179711"/>
    <m/>
  </r>
  <r>
    <s v="T1283"/>
    <x v="124"/>
    <x v="0"/>
    <x v="2"/>
    <s v="Phone"/>
    <x v="5"/>
    <n v="493719.28"/>
    <n v="214667.1"/>
    <s v="Transfer"/>
    <s v="Corporate"/>
    <n v="279052.18000000005"/>
    <n v="0.5652041378655499"/>
    <m/>
  </r>
  <r>
    <s v="T1284"/>
    <x v="40"/>
    <x v="1"/>
    <x v="2"/>
    <s v="Chair"/>
    <x v="5"/>
    <n v="278013.88"/>
    <n v="121003.49"/>
    <s v="Cash"/>
    <s v="Corporate"/>
    <n v="157010.39000000001"/>
    <n v="0.56475737830068051"/>
    <m/>
  </r>
  <r>
    <s v="T1285"/>
    <x v="131"/>
    <x v="0"/>
    <x v="2"/>
    <s v="Cabinet"/>
    <x v="2"/>
    <n v="205119.5"/>
    <n v="108043.88"/>
    <s v="Card"/>
    <s v="Retail"/>
    <n v="97075.62"/>
    <n v="0.473263731629611"/>
    <m/>
  </r>
  <r>
    <s v="T1286"/>
    <x v="89"/>
    <x v="4"/>
    <x v="2"/>
    <s v="Printer"/>
    <x v="0"/>
    <n v="176646.7"/>
    <n v="145225.31"/>
    <s v="Transfer"/>
    <s v="Retail"/>
    <n v="31421.390000000014"/>
    <n v="0.177877027988635"/>
    <m/>
  </r>
  <r>
    <s v="T1287"/>
    <x v="136"/>
    <x v="0"/>
    <x v="0"/>
    <s v="Desk"/>
    <x v="5"/>
    <n v="79765.490000000005"/>
    <n v="43705.9"/>
    <s v="Transfer"/>
    <s v="Corporate"/>
    <n v="36059.590000000004"/>
    <n v="0.4520700618776366"/>
    <m/>
  </r>
  <r>
    <s v="T1288"/>
    <x v="32"/>
    <x v="4"/>
    <x v="1"/>
    <s v="Chair"/>
    <x v="1"/>
    <n v="459951.58"/>
    <n v="426449.35"/>
    <s v="Cash"/>
    <s v="Corporate"/>
    <n v="33502.23000000004"/>
    <n v="7.2838601837176081E-2"/>
    <m/>
  </r>
  <r>
    <s v="T1289"/>
    <x v="63"/>
    <x v="0"/>
    <x v="2"/>
    <s v="Printer"/>
    <x v="4"/>
    <n v="357097.43"/>
    <n v="298940.25"/>
    <s v="Transfer"/>
    <s v="Corporate"/>
    <n v="58157.179999999993"/>
    <n v="0.16286081924476464"/>
    <m/>
  </r>
  <r>
    <s v="T1290"/>
    <x v="103"/>
    <x v="4"/>
    <x v="2"/>
    <s v="Chair"/>
    <x v="3"/>
    <n v="490761.33"/>
    <n v="397486.62"/>
    <s v="Cash"/>
    <s v="Retail"/>
    <n v="93274.710000000021"/>
    <n v="0.19006124626811982"/>
    <m/>
  </r>
  <r>
    <s v="T1291"/>
    <x v="86"/>
    <x v="2"/>
    <x v="1"/>
    <s v="Laptop"/>
    <x v="3"/>
    <n v="266082.96999999997"/>
    <n v="140159.88"/>
    <s v="Transfer"/>
    <s v="Corporate"/>
    <n v="125923.08999999997"/>
    <n v="0.47324746112086763"/>
    <m/>
  </r>
  <r>
    <s v="T1292"/>
    <x v="3"/>
    <x v="3"/>
    <x v="1"/>
    <s v="Cabinet"/>
    <x v="1"/>
    <n v="302171.21999999997"/>
    <n v="179698.89"/>
    <s v="Cash"/>
    <s v="Corporate"/>
    <n v="122472.32999999996"/>
    <n v="0.40530772586482583"/>
    <m/>
  </r>
  <r>
    <s v="T1293"/>
    <x v="86"/>
    <x v="0"/>
    <x v="0"/>
    <s v="Desk"/>
    <x v="0"/>
    <n v="377192.37"/>
    <n v="167981.83"/>
    <s v="Card"/>
    <s v="Retail"/>
    <n v="209210.54"/>
    <n v="0.55465209966999074"/>
    <m/>
  </r>
  <r>
    <s v="T1294"/>
    <x v="85"/>
    <x v="0"/>
    <x v="1"/>
    <s v="Cabinet"/>
    <x v="3"/>
    <n v="240436.88"/>
    <n v="156836.78"/>
    <s v="Transfer"/>
    <s v="Retail"/>
    <n v="83600.100000000006"/>
    <n v="0.34770081860985719"/>
    <m/>
  </r>
  <r>
    <s v="T1295"/>
    <x v="142"/>
    <x v="0"/>
    <x v="0"/>
    <s v="Chair"/>
    <x v="2"/>
    <n v="291665.02"/>
    <n v="193520.71"/>
    <s v="Cash"/>
    <s v="Corporate"/>
    <n v="98144.310000000027"/>
    <n v="0.33649667690695312"/>
    <m/>
  </r>
  <r>
    <s v="T1296"/>
    <x v="143"/>
    <x v="0"/>
    <x v="0"/>
    <s v="Chair"/>
    <x v="0"/>
    <n v="193926.58"/>
    <n v="101748.18"/>
    <s v="Cash"/>
    <s v="Retail"/>
    <n v="92178.4"/>
    <n v="0.47532628069860255"/>
    <m/>
  </r>
  <r>
    <s v="T1297"/>
    <x v="120"/>
    <x v="0"/>
    <x v="2"/>
    <s v="Phone"/>
    <x v="0"/>
    <n v="416793.05"/>
    <n v="314244.92"/>
    <s v="Cash"/>
    <s v="Corporate"/>
    <n v="102548.13"/>
    <n v="0.24604088287940504"/>
    <m/>
  </r>
  <r>
    <s v="T1298"/>
    <x v="86"/>
    <x v="1"/>
    <x v="1"/>
    <s v="Laptop"/>
    <x v="2"/>
    <n v="263250.59999999998"/>
    <n v="188367.98"/>
    <s v="Card"/>
    <s v="Retail"/>
    <n v="74882.619999999966"/>
    <n v="0.28445374863343131"/>
    <m/>
  </r>
  <r>
    <s v="T1299"/>
    <x v="88"/>
    <x v="1"/>
    <x v="1"/>
    <s v="Printer"/>
    <x v="2"/>
    <n v="489878.84"/>
    <n v="202466.89"/>
    <s v="Cash"/>
    <s v="Retail"/>
    <n v="287411.95"/>
    <n v="0.58670007057255213"/>
    <m/>
  </r>
  <r>
    <s v="T1300"/>
    <x v="115"/>
    <x v="4"/>
    <x v="0"/>
    <s v="Cabinet"/>
    <x v="4"/>
    <n v="229725.17"/>
    <n v="118460.73"/>
    <s v="Transfer"/>
    <s v="Retail"/>
    <n v="111264.44000000002"/>
    <n v="0.48433717559116407"/>
    <m/>
  </r>
  <r>
    <s v="T1301"/>
    <x v="112"/>
    <x v="0"/>
    <x v="2"/>
    <s v="Phone"/>
    <x v="3"/>
    <n v="487026.25"/>
    <n v="197471.47"/>
    <s v="Cash"/>
    <s v="Retail"/>
    <n v="289554.78000000003"/>
    <n v="0.59453629039502498"/>
    <m/>
  </r>
  <r>
    <s v="T1302"/>
    <x v="55"/>
    <x v="1"/>
    <x v="0"/>
    <s v="Chair"/>
    <x v="1"/>
    <n v="208136.41"/>
    <n v="190223.06"/>
    <s v="Cash"/>
    <s v="Corporate"/>
    <n v="17913.350000000006"/>
    <n v="8.6065431800231421E-2"/>
    <m/>
  </r>
  <r>
    <s v="T1303"/>
    <x v="71"/>
    <x v="0"/>
    <x v="2"/>
    <s v="Phone"/>
    <x v="5"/>
    <n v="268600.23"/>
    <n v="198954.86"/>
    <s v="Cash"/>
    <s v="Corporate"/>
    <n v="69645.37"/>
    <n v="0.25929006092064777"/>
    <m/>
  </r>
  <r>
    <s v="T1304"/>
    <x v="144"/>
    <x v="0"/>
    <x v="2"/>
    <s v="Desk"/>
    <x v="2"/>
    <n v="223192.27"/>
    <n v="179683.91"/>
    <s v="Cash"/>
    <s v="Retail"/>
    <n v="43508.359999999986"/>
    <n v="0.19493667948267199"/>
    <m/>
  </r>
  <r>
    <s v="T1305"/>
    <x v="7"/>
    <x v="0"/>
    <x v="2"/>
    <s v="Printer"/>
    <x v="4"/>
    <n v="186280.16"/>
    <n v="134770.74"/>
    <s v="Cash"/>
    <s v="Retail"/>
    <n v="51509.420000000013"/>
    <n v="0.27651586728291416"/>
    <m/>
  </r>
  <r>
    <s v="T1306"/>
    <x v="12"/>
    <x v="2"/>
    <x v="2"/>
    <s v="Desk"/>
    <x v="0"/>
    <n v="264211.96999999997"/>
    <n v="230551.13"/>
    <s v="Card"/>
    <s v="Retail"/>
    <n v="33660.839999999967"/>
    <n v="0.12740088952063744"/>
    <m/>
  </r>
  <r>
    <s v="T1307"/>
    <x v="60"/>
    <x v="0"/>
    <x v="1"/>
    <s v="Cabinet"/>
    <x v="5"/>
    <n v="497740.26"/>
    <n v="408874.83"/>
    <s v="Transfer"/>
    <s v="Retail"/>
    <n v="88865.43"/>
    <n v="0.17853775782573825"/>
    <m/>
  </r>
  <r>
    <s v="T1308"/>
    <x v="123"/>
    <x v="0"/>
    <x v="1"/>
    <s v="Phone"/>
    <x v="1"/>
    <n v="110111.71"/>
    <n v="95212.3"/>
    <s v="Transfer"/>
    <s v="Corporate"/>
    <n v="14899.410000000003"/>
    <n v="0.13531176656869648"/>
    <m/>
  </r>
  <r>
    <s v="T1309"/>
    <x v="49"/>
    <x v="0"/>
    <x v="2"/>
    <s v="Printer"/>
    <x v="3"/>
    <n v="171173.98"/>
    <n v="102899.97"/>
    <s v="Transfer"/>
    <s v="Retail"/>
    <n v="68274.010000000009"/>
    <n v="0.3988574081177525"/>
    <m/>
  </r>
  <r>
    <s v="T1310"/>
    <x v="45"/>
    <x v="0"/>
    <x v="2"/>
    <s v="Printer"/>
    <x v="0"/>
    <n v="114313.34"/>
    <n v="95935.14"/>
    <s v="Transfer"/>
    <s v="Retail"/>
    <n v="18378.199999999997"/>
    <n v="0.16077038777801433"/>
    <m/>
  </r>
  <r>
    <s v="T1311"/>
    <x v="116"/>
    <x v="4"/>
    <x v="1"/>
    <s v="Phone"/>
    <x v="0"/>
    <n v="486260.15"/>
    <n v="286582.51"/>
    <s v="Transfer"/>
    <s v="Corporate"/>
    <n v="199677.64"/>
    <n v="0.41063953112341206"/>
    <m/>
  </r>
  <r>
    <s v="T1312"/>
    <x v="37"/>
    <x v="3"/>
    <x v="2"/>
    <s v="Cabinet"/>
    <x v="1"/>
    <n v="327114.63"/>
    <n v="226205.32"/>
    <s v="Cash"/>
    <s v="Retail"/>
    <n v="100909.31"/>
    <n v="0.308483023214217"/>
    <m/>
  </r>
  <r>
    <s v="T1313"/>
    <x v="89"/>
    <x v="0"/>
    <x v="0"/>
    <s v="Cabinet"/>
    <x v="5"/>
    <n v="481745.69"/>
    <n v="334000.3"/>
    <s v="Card"/>
    <s v="Retail"/>
    <n v="147745.39000000001"/>
    <n v="0.30668751805542882"/>
    <m/>
  </r>
  <r>
    <s v="T1314"/>
    <x v="102"/>
    <x v="0"/>
    <x v="0"/>
    <s v="Printer"/>
    <x v="3"/>
    <n v="395634.82"/>
    <n v="158331.73000000001"/>
    <s v="Transfer"/>
    <s v="Corporate"/>
    <n v="237303.09"/>
    <n v="0.59980334895700027"/>
    <m/>
  </r>
  <r>
    <s v="T1315"/>
    <x v="36"/>
    <x v="0"/>
    <x v="1"/>
    <s v="Desk"/>
    <x v="0"/>
    <n v="437342.61"/>
    <n v="191317.53"/>
    <s v="Transfer"/>
    <s v="Corporate"/>
    <n v="246025.08"/>
    <n v="0.56254541490937737"/>
    <m/>
  </r>
  <r>
    <s v="T1316"/>
    <x v="27"/>
    <x v="0"/>
    <x v="1"/>
    <s v="Desk"/>
    <x v="5"/>
    <n v="371344.56"/>
    <n v="192236.09"/>
    <s v="Card"/>
    <s v="Retail"/>
    <n v="179108.47"/>
    <n v="0.4823242058534532"/>
    <m/>
  </r>
  <r>
    <s v="T1317"/>
    <x v="145"/>
    <x v="0"/>
    <x v="2"/>
    <s v="Printer"/>
    <x v="2"/>
    <n v="438264.97"/>
    <n v="202428.04"/>
    <s v="Card"/>
    <s v="Corporate"/>
    <n v="235836.92999999996"/>
    <n v="0.53811494448210173"/>
    <m/>
  </r>
  <r>
    <s v="T1318"/>
    <x v="12"/>
    <x v="0"/>
    <x v="0"/>
    <s v="Phone"/>
    <x v="1"/>
    <n v="80350.66"/>
    <n v="43106.75"/>
    <s v="Cash"/>
    <s v="Retail"/>
    <n v="37243.910000000003"/>
    <n v="0.4635171633935552"/>
    <m/>
  </r>
  <r>
    <s v="T1319"/>
    <x v="139"/>
    <x v="0"/>
    <x v="2"/>
    <s v="Printer"/>
    <x v="4"/>
    <n v="326956.90999999997"/>
    <n v="183105.49"/>
    <s v="Transfer"/>
    <s v="Retail"/>
    <n v="143851.41999999998"/>
    <n v="0.43997057593919636"/>
    <m/>
  </r>
  <r>
    <s v="T1320"/>
    <x v="52"/>
    <x v="0"/>
    <x v="1"/>
    <s v="Phone"/>
    <x v="1"/>
    <n v="359121.84"/>
    <n v="194289.36"/>
    <s v="Transfer"/>
    <s v="Corporate"/>
    <n v="164832.48000000004"/>
    <n v="0.45898762381034813"/>
    <m/>
  </r>
  <r>
    <s v="T1321"/>
    <x v="90"/>
    <x v="1"/>
    <x v="2"/>
    <s v="Laptop"/>
    <x v="0"/>
    <n v="356823.23"/>
    <n v="177540.5"/>
    <s v="Cash"/>
    <s v="Corporate"/>
    <n v="179282.72999999998"/>
    <n v="0.50244130686222421"/>
    <m/>
  </r>
  <r>
    <s v="T1322"/>
    <x v="114"/>
    <x v="0"/>
    <x v="2"/>
    <s v="Cabinet"/>
    <x v="2"/>
    <n v="356032.07"/>
    <n v="285573.64"/>
    <s v="Transfer"/>
    <s v="Corporate"/>
    <n v="70458.429999999993"/>
    <n v="0.19789911060540133"/>
    <m/>
  </r>
  <r>
    <s v="T1323"/>
    <x v="138"/>
    <x v="4"/>
    <x v="1"/>
    <s v="Desk"/>
    <x v="0"/>
    <n v="495155.13"/>
    <n v="387660.61"/>
    <s v="Cash"/>
    <s v="Corporate"/>
    <n v="107494.52000000002"/>
    <n v="0.21709261095608565"/>
    <m/>
  </r>
  <r>
    <s v="T1324"/>
    <x v="60"/>
    <x v="4"/>
    <x v="0"/>
    <s v="Printer"/>
    <x v="3"/>
    <n v="461062.02"/>
    <n v="402080.98"/>
    <s v="Card"/>
    <s v="Corporate"/>
    <n v="58981.040000000037"/>
    <n v="0.12792430831756654"/>
    <m/>
  </r>
  <r>
    <s v="T1325"/>
    <x v="146"/>
    <x v="2"/>
    <x v="2"/>
    <s v="Phone"/>
    <x v="1"/>
    <n v="422524.3"/>
    <n v="393004.93"/>
    <s v="Card"/>
    <s v="Corporate"/>
    <n v="29519.369999999995"/>
    <n v="6.9864313129446035E-2"/>
    <m/>
  </r>
  <r>
    <s v="T1326"/>
    <x v="24"/>
    <x v="0"/>
    <x v="0"/>
    <s v="Desk"/>
    <x v="2"/>
    <n v="178040.49"/>
    <n v="150835.29999999999"/>
    <s v="Card"/>
    <s v="Retail"/>
    <n v="27205.190000000002"/>
    <n v="0.15280338758896925"/>
    <m/>
  </r>
  <r>
    <s v="T1327"/>
    <x v="53"/>
    <x v="1"/>
    <x v="2"/>
    <s v="Chair"/>
    <x v="1"/>
    <n v="459529.81"/>
    <n v="190884.13"/>
    <s v="Transfer"/>
    <s v="Corporate"/>
    <n v="268645.68"/>
    <n v="0.58460990811455738"/>
    <m/>
  </r>
  <r>
    <s v="T1328"/>
    <x v="21"/>
    <x v="3"/>
    <x v="2"/>
    <s v="Phone"/>
    <x v="3"/>
    <n v="146265.81"/>
    <n v="109996.21"/>
    <s v="Card"/>
    <s v="Corporate"/>
    <n v="36269.599999999991"/>
    <n v="0.24797045871485612"/>
    <m/>
  </r>
  <r>
    <s v="T1329"/>
    <x v="21"/>
    <x v="0"/>
    <x v="2"/>
    <s v="Phone"/>
    <x v="1"/>
    <n v="369649.49"/>
    <n v="317313.99"/>
    <s v="Card"/>
    <s v="Corporate"/>
    <n v="52335.5"/>
    <n v="0.14158142082111355"/>
    <m/>
  </r>
  <r>
    <s v="T1330"/>
    <x v="58"/>
    <x v="4"/>
    <x v="0"/>
    <s v="Phone"/>
    <x v="1"/>
    <n v="402955.39"/>
    <n v="283092.68"/>
    <s v="Card"/>
    <s v="Corporate"/>
    <n v="119862.71000000002"/>
    <n v="0.29745900656645891"/>
    <m/>
  </r>
  <r>
    <s v="T1331"/>
    <x v="147"/>
    <x v="3"/>
    <x v="1"/>
    <s v="Chair"/>
    <x v="1"/>
    <n v="178323.64"/>
    <n v="140365.18"/>
    <s v="Cash"/>
    <s v="Corporate"/>
    <n v="37958.460000000021"/>
    <n v="0.21286274775458833"/>
    <m/>
  </r>
  <r>
    <s v="T1332"/>
    <x v="111"/>
    <x v="3"/>
    <x v="0"/>
    <s v="Phone"/>
    <x v="0"/>
    <n v="438073.4"/>
    <n v="232900.53"/>
    <s v="Transfer"/>
    <s v="Corporate"/>
    <n v="205172.87000000002"/>
    <n v="0.46835272353902341"/>
    <m/>
  </r>
  <r>
    <s v="T1333"/>
    <x v="148"/>
    <x v="3"/>
    <x v="1"/>
    <s v="Printer"/>
    <x v="2"/>
    <n v="208957.25"/>
    <n v="171128.18"/>
    <s v="Card"/>
    <s v="Corporate"/>
    <n v="37829.070000000007"/>
    <n v="0.18103736529840436"/>
    <m/>
  </r>
  <r>
    <s v="T1334"/>
    <x v="29"/>
    <x v="0"/>
    <x v="1"/>
    <s v="Desk"/>
    <x v="2"/>
    <n v="239091.55"/>
    <n v="106411.23"/>
    <s v="Transfer"/>
    <s v="Retail"/>
    <n v="132680.32000000001"/>
    <n v="0.55493521205580043"/>
    <m/>
  </r>
  <r>
    <s v="T1335"/>
    <x v="113"/>
    <x v="2"/>
    <x v="0"/>
    <s v="Cabinet"/>
    <x v="2"/>
    <n v="434534.96"/>
    <n v="285197.19"/>
    <s v="Transfer"/>
    <s v="Corporate"/>
    <n v="149337.77000000002"/>
    <n v="0.34367262417735045"/>
    <m/>
  </r>
  <r>
    <s v="T1336"/>
    <x v="95"/>
    <x v="0"/>
    <x v="0"/>
    <s v="Phone"/>
    <x v="4"/>
    <n v="110184.2"/>
    <n v="82841.39"/>
    <s v="Transfer"/>
    <s v="Corporate"/>
    <n v="27342.809999999998"/>
    <n v="0.24815545241513753"/>
    <m/>
  </r>
  <r>
    <s v="T1337"/>
    <x v="149"/>
    <x v="1"/>
    <x v="1"/>
    <s v="Desk"/>
    <x v="3"/>
    <n v="275244.53000000003"/>
    <n v="204229.61"/>
    <s v="Transfer"/>
    <s v="Retail"/>
    <n v="71014.920000000042"/>
    <n v="0.25800665321123745"/>
    <m/>
  </r>
  <r>
    <s v="T1338"/>
    <x v="42"/>
    <x v="2"/>
    <x v="0"/>
    <s v="Phone"/>
    <x v="2"/>
    <n v="419945.82"/>
    <n v="318971.18"/>
    <s v="Card"/>
    <s v="Corporate"/>
    <n v="100974.64000000001"/>
    <n v="0.24044682716451377"/>
    <m/>
  </r>
  <r>
    <s v="T1339"/>
    <x v="100"/>
    <x v="2"/>
    <x v="1"/>
    <s v="Cabinet"/>
    <x v="0"/>
    <n v="499083.85"/>
    <n v="291463.39"/>
    <s v="Card"/>
    <s v="Retail"/>
    <n v="207620.45999999996"/>
    <n v="0.41600316259482245"/>
    <m/>
  </r>
  <r>
    <s v="T1340"/>
    <x v="150"/>
    <x v="0"/>
    <x v="1"/>
    <s v="Cabinet"/>
    <x v="4"/>
    <n v="191264.02"/>
    <n v="157838.10999999999"/>
    <s v="Transfer"/>
    <s v="Corporate"/>
    <n v="33425.910000000003"/>
    <n v="0.17476318860180814"/>
    <m/>
  </r>
  <r>
    <s v="T1341"/>
    <x v="89"/>
    <x v="3"/>
    <x v="1"/>
    <s v="Phone"/>
    <x v="0"/>
    <n v="292361.34999999998"/>
    <n v="193198.9"/>
    <s v="Cash"/>
    <s v="Corporate"/>
    <n v="99162.449999999983"/>
    <n v="0.33917769910420781"/>
    <m/>
  </r>
  <r>
    <s v="T1342"/>
    <x v="36"/>
    <x v="2"/>
    <x v="0"/>
    <s v="Printer"/>
    <x v="5"/>
    <n v="140122.60999999999"/>
    <n v="58157.15"/>
    <s v="Cash"/>
    <s v="Retail"/>
    <n v="81965.459999999992"/>
    <n v="0.58495527595439456"/>
    <m/>
  </r>
  <r>
    <s v="T1343"/>
    <x v="18"/>
    <x v="3"/>
    <x v="0"/>
    <s v="Cabinet"/>
    <x v="0"/>
    <n v="156702.34"/>
    <n v="141186.67000000001"/>
    <s v="Cash"/>
    <s v="Retail"/>
    <n v="15515.669999999984"/>
    <n v="9.9013645871529318E-2"/>
    <m/>
  </r>
  <r>
    <s v="T1344"/>
    <x v="151"/>
    <x v="0"/>
    <x v="1"/>
    <s v="Laptop"/>
    <x v="0"/>
    <n v="324871.05"/>
    <n v="153869.07"/>
    <s v="Transfer"/>
    <s v="Retail"/>
    <n v="171001.97999999998"/>
    <n v="0.5263687853996224"/>
    <m/>
  </r>
  <r>
    <s v="T1345"/>
    <x v="152"/>
    <x v="0"/>
    <x v="1"/>
    <s v="Phone"/>
    <x v="1"/>
    <n v="322089.61"/>
    <n v="185500.39"/>
    <s v="Card"/>
    <s v="Retail"/>
    <n v="136589.21999999997"/>
    <n v="0.42407210838002496"/>
    <m/>
  </r>
  <r>
    <s v="T1346"/>
    <x v="153"/>
    <x v="3"/>
    <x v="0"/>
    <s v="Desk"/>
    <x v="4"/>
    <n v="366639.2"/>
    <n v="309131.62"/>
    <s v="Cash"/>
    <s v="Retail"/>
    <n v="57507.580000000016"/>
    <n v="0.15685060408161489"/>
    <m/>
  </r>
  <r>
    <s v="T1347"/>
    <x v="12"/>
    <x v="0"/>
    <x v="2"/>
    <s v="Phone"/>
    <x v="2"/>
    <n v="138341.65"/>
    <n v="96196.479999999996"/>
    <s v="Card"/>
    <s v="Retail"/>
    <n v="42145.17"/>
    <n v="0.30464556407994264"/>
    <m/>
  </r>
  <r>
    <s v="T1348"/>
    <x v="153"/>
    <x v="4"/>
    <x v="1"/>
    <s v="Printer"/>
    <x v="5"/>
    <n v="211883.3"/>
    <n v="146798.89000000001"/>
    <s v="Transfer"/>
    <s v="Retail"/>
    <n v="65084.409999999974"/>
    <n v="0.30717102291686027"/>
    <m/>
  </r>
  <r>
    <s v="T1349"/>
    <x v="98"/>
    <x v="2"/>
    <x v="0"/>
    <s v="Laptop"/>
    <x v="0"/>
    <n v="489872.48"/>
    <n v="385759.08"/>
    <s v="Cash"/>
    <s v="Corporate"/>
    <n v="104113.39999999997"/>
    <n v="0.21253163680474554"/>
    <m/>
  </r>
  <r>
    <s v="T1350"/>
    <x v="89"/>
    <x v="0"/>
    <x v="1"/>
    <s v="Printer"/>
    <x v="2"/>
    <n v="472404.68"/>
    <n v="299090.78999999998"/>
    <s v="Transfer"/>
    <s v="Corporate"/>
    <n v="173313.89"/>
    <n v="0.36687589547165372"/>
    <m/>
  </r>
  <r>
    <s v="T1351"/>
    <x v="21"/>
    <x v="3"/>
    <x v="0"/>
    <s v="Cabinet"/>
    <x v="4"/>
    <n v="312111.78000000003"/>
    <n v="128490.17"/>
    <s v="Cash"/>
    <s v="Corporate"/>
    <n v="183621.61000000004"/>
    <n v="0.58832002431949226"/>
    <m/>
  </r>
  <r>
    <s v="T1352"/>
    <x v="95"/>
    <x v="0"/>
    <x v="1"/>
    <s v="Phone"/>
    <x v="5"/>
    <n v="291551.53999999998"/>
    <n v="198429.98"/>
    <s v="Transfer"/>
    <s v="Corporate"/>
    <n v="93121.559999999969"/>
    <n v="0.31939999356546006"/>
    <m/>
  </r>
  <r>
    <s v="T1353"/>
    <x v="6"/>
    <x v="0"/>
    <x v="2"/>
    <s v="Laptop"/>
    <x v="3"/>
    <n v="232545.37"/>
    <n v="217616.64000000001"/>
    <s v="Card"/>
    <s v="Corporate"/>
    <n v="14928.729999999981"/>
    <n v="6.4197063996586909E-2"/>
    <m/>
  </r>
  <r>
    <s v="T1354"/>
    <x v="133"/>
    <x v="4"/>
    <x v="2"/>
    <s v="Desk"/>
    <x v="1"/>
    <n v="443069.11"/>
    <n v="286847.69"/>
    <s v="Card"/>
    <s v="Retail"/>
    <n v="156221.41999999998"/>
    <n v="0.3525892834190133"/>
    <m/>
  </r>
  <r>
    <s v="T1355"/>
    <x v="88"/>
    <x v="1"/>
    <x v="1"/>
    <s v="Laptop"/>
    <x v="4"/>
    <n v="267392.36"/>
    <n v="238648.9"/>
    <s v="Cash"/>
    <s v="Retail"/>
    <n v="28743.459999999992"/>
    <n v="0.10749544227815631"/>
    <m/>
  </r>
  <r>
    <s v="T1356"/>
    <x v="76"/>
    <x v="0"/>
    <x v="2"/>
    <s v="Chair"/>
    <x v="0"/>
    <n v="229015.26"/>
    <n v="107320.36"/>
    <s v="Cash"/>
    <s v="Corporate"/>
    <n v="121694.90000000001"/>
    <n v="0.53138336720443868"/>
    <m/>
  </r>
  <r>
    <s v="T1357"/>
    <x v="89"/>
    <x v="2"/>
    <x v="1"/>
    <s v="Chair"/>
    <x v="3"/>
    <n v="118796.58"/>
    <n v="106752.64"/>
    <s v="Cash"/>
    <s v="Retail"/>
    <n v="12043.940000000002"/>
    <n v="0.10138288492816883"/>
    <m/>
  </r>
  <r>
    <s v="T1358"/>
    <x v="13"/>
    <x v="2"/>
    <x v="2"/>
    <s v="Printer"/>
    <x v="3"/>
    <n v="180240.01"/>
    <n v="120346.22"/>
    <s v="Card"/>
    <s v="Corporate"/>
    <n v="59893.790000000008"/>
    <n v="0.3323001923934647"/>
    <m/>
  </r>
  <r>
    <s v="T1359"/>
    <x v="16"/>
    <x v="0"/>
    <x v="2"/>
    <s v="Cabinet"/>
    <x v="3"/>
    <n v="428097.5"/>
    <n v="389612.4"/>
    <s v="Cash"/>
    <s v="Corporate"/>
    <n v="38485.099999999977"/>
    <n v="8.9897978848276328E-2"/>
    <m/>
  </r>
  <r>
    <s v="T1360"/>
    <x v="152"/>
    <x v="1"/>
    <x v="2"/>
    <s v="Cabinet"/>
    <x v="3"/>
    <n v="116524.74"/>
    <n v="83746.539999999994"/>
    <s v="Transfer"/>
    <s v="Corporate"/>
    <n v="32778.200000000012"/>
    <n v="0.28129820328283944"/>
    <m/>
  </r>
  <r>
    <s v="T1361"/>
    <x v="15"/>
    <x v="4"/>
    <x v="1"/>
    <s v="Desk"/>
    <x v="2"/>
    <n v="453715.95"/>
    <n v="277161.13"/>
    <s v="Transfer"/>
    <s v="Corporate"/>
    <n v="176554.82"/>
    <n v="0.3891307325651655"/>
    <m/>
  </r>
  <r>
    <s v="T1362"/>
    <x v="20"/>
    <x v="0"/>
    <x v="0"/>
    <s v="Laptop"/>
    <x v="1"/>
    <n v="137931.96"/>
    <n v="90120.76"/>
    <s v="Card"/>
    <s v="Retail"/>
    <n v="47811.199999999997"/>
    <n v="0.34662887412025467"/>
    <m/>
  </r>
  <r>
    <s v="T1363"/>
    <x v="122"/>
    <x v="1"/>
    <x v="1"/>
    <s v="Desk"/>
    <x v="1"/>
    <n v="362273.81"/>
    <n v="164495.07"/>
    <s v="Cash"/>
    <s v="Corporate"/>
    <n v="197778.74"/>
    <n v="0.54593717387409257"/>
    <m/>
  </r>
  <r>
    <s v="T1364"/>
    <x v="23"/>
    <x v="0"/>
    <x v="2"/>
    <s v="Chair"/>
    <x v="1"/>
    <n v="317939.90999999997"/>
    <n v="294813.73"/>
    <s v="Card"/>
    <s v="Retail"/>
    <n v="23126.179999999993"/>
    <n v="7.2737581136007728E-2"/>
    <m/>
  </r>
  <r>
    <s v="T1365"/>
    <x v="19"/>
    <x v="0"/>
    <x v="0"/>
    <s v="Phone"/>
    <x v="2"/>
    <n v="290186.92"/>
    <n v="188088.79"/>
    <s v="Transfer"/>
    <s v="Corporate"/>
    <n v="102098.12999999998"/>
    <n v="0.35183574090796366"/>
    <m/>
  </r>
  <r>
    <s v="T1366"/>
    <x v="154"/>
    <x v="0"/>
    <x v="1"/>
    <s v="Printer"/>
    <x v="5"/>
    <n v="111578.86"/>
    <n v="58190.11"/>
    <s v="Transfer"/>
    <s v="Corporate"/>
    <n v="53388.75"/>
    <n v="0.47848445485103541"/>
    <m/>
  </r>
  <r>
    <s v="T1367"/>
    <x v="126"/>
    <x v="0"/>
    <x v="2"/>
    <s v="Printer"/>
    <x v="5"/>
    <n v="363577.29"/>
    <n v="284041.08"/>
    <s v="Transfer"/>
    <s v="Retail"/>
    <n v="79536.209999999963"/>
    <n v="0.21876011562768391"/>
    <m/>
  </r>
  <r>
    <s v="T1368"/>
    <x v="148"/>
    <x v="3"/>
    <x v="2"/>
    <s v="Printer"/>
    <x v="0"/>
    <n v="109898.68"/>
    <n v="59680.69"/>
    <s v="Transfer"/>
    <s v="Corporate"/>
    <n v="50217.989999999991"/>
    <n v="0.45694807253371916"/>
    <m/>
  </r>
  <r>
    <s v="T1369"/>
    <x v="144"/>
    <x v="4"/>
    <x v="1"/>
    <s v="Printer"/>
    <x v="1"/>
    <n v="478032.77"/>
    <n v="427793.95"/>
    <s v="Cash"/>
    <s v="Retail"/>
    <n v="50238.820000000007"/>
    <n v="0.10509492895225574"/>
    <m/>
  </r>
  <r>
    <s v="T1370"/>
    <x v="9"/>
    <x v="3"/>
    <x v="0"/>
    <s v="Phone"/>
    <x v="0"/>
    <n v="345841.73"/>
    <n v="202508.19"/>
    <s v="Cash"/>
    <s v="Retail"/>
    <n v="143333.53999999998"/>
    <n v="0.41444836630906279"/>
    <m/>
  </r>
  <r>
    <s v="T1371"/>
    <x v="87"/>
    <x v="4"/>
    <x v="0"/>
    <s v="Chair"/>
    <x v="1"/>
    <n v="294181.5"/>
    <n v="262165.15999999997"/>
    <s v="Card"/>
    <s v="Corporate"/>
    <n v="32016.340000000026"/>
    <n v="0.10883192858830357"/>
    <m/>
  </r>
  <r>
    <s v="T1372"/>
    <x v="10"/>
    <x v="4"/>
    <x v="1"/>
    <s v="Printer"/>
    <x v="3"/>
    <n v="352750"/>
    <n v="332193.28000000003"/>
    <s v="Cash"/>
    <s v="Retail"/>
    <n v="20556.719999999972"/>
    <n v="5.8275605953224584E-2"/>
    <m/>
  </r>
  <r>
    <s v="T1373"/>
    <x v="155"/>
    <x v="0"/>
    <x v="1"/>
    <s v="Phone"/>
    <x v="2"/>
    <n v="133921.70000000001"/>
    <n v="55224.45"/>
    <s v="Cash"/>
    <s v="Retail"/>
    <n v="78697.250000000015"/>
    <n v="0.58763628299222614"/>
    <m/>
  </r>
  <r>
    <s v="T1374"/>
    <x v="73"/>
    <x v="0"/>
    <x v="1"/>
    <s v="Phone"/>
    <x v="2"/>
    <n v="353273.42"/>
    <n v="221715.04"/>
    <s v="Card"/>
    <s v="Retail"/>
    <n v="131558.37999999998"/>
    <n v="0.37239818382033946"/>
    <m/>
  </r>
  <r>
    <s v="T1375"/>
    <x v="152"/>
    <x v="2"/>
    <x v="1"/>
    <s v="Printer"/>
    <x v="2"/>
    <n v="447456.46"/>
    <n v="324280.37"/>
    <s v="Transfer"/>
    <s v="Retail"/>
    <n v="123176.09000000003"/>
    <n v="0.2752806161296677"/>
    <m/>
  </r>
  <r>
    <s v="T1376"/>
    <x v="62"/>
    <x v="1"/>
    <x v="2"/>
    <s v="Chair"/>
    <x v="3"/>
    <n v="444826.19"/>
    <n v="204733.78"/>
    <s v="Card"/>
    <s v="Retail"/>
    <n v="240092.41"/>
    <n v="0.53974432125950134"/>
    <m/>
  </r>
  <r>
    <s v="T1377"/>
    <x v="4"/>
    <x v="2"/>
    <x v="1"/>
    <s v="Printer"/>
    <x v="5"/>
    <n v="267043.39"/>
    <n v="109371.72"/>
    <s v="Transfer"/>
    <s v="Corporate"/>
    <n v="157671.67000000001"/>
    <n v="0.59043464809220703"/>
    <m/>
  </r>
  <r>
    <s v="T1378"/>
    <x v="93"/>
    <x v="0"/>
    <x v="0"/>
    <s v="Cabinet"/>
    <x v="5"/>
    <n v="411687.21"/>
    <n v="231096.17"/>
    <s v="Transfer"/>
    <s v="Retail"/>
    <n v="180591.04"/>
    <n v="0.43866079784212875"/>
    <m/>
  </r>
  <r>
    <s v="T1379"/>
    <x v="14"/>
    <x v="4"/>
    <x v="1"/>
    <s v="Desk"/>
    <x v="5"/>
    <n v="317114.39"/>
    <n v="257183.16"/>
    <s v="Cash"/>
    <s v="Corporate"/>
    <n v="59931.23000000001"/>
    <n v="0.1889893107657461"/>
    <m/>
  </r>
  <r>
    <s v="T1380"/>
    <x v="1"/>
    <x v="2"/>
    <x v="2"/>
    <s v="Printer"/>
    <x v="2"/>
    <n v="282796.83"/>
    <n v="234102.53"/>
    <s v="Cash"/>
    <s v="Retail"/>
    <n v="48694.300000000017"/>
    <n v="0.17218828089409635"/>
    <m/>
  </r>
  <r>
    <s v="T1381"/>
    <x v="100"/>
    <x v="0"/>
    <x v="2"/>
    <s v="Chair"/>
    <x v="5"/>
    <n v="272798.42"/>
    <n v="143282.47"/>
    <s v="Cash"/>
    <s v="Retail"/>
    <n v="129515.94999999998"/>
    <n v="0.47476796236576441"/>
    <m/>
  </r>
  <r>
    <s v="T1382"/>
    <x v="141"/>
    <x v="0"/>
    <x v="1"/>
    <s v="Printer"/>
    <x v="5"/>
    <n v="100270.49"/>
    <n v="43772.18"/>
    <s v="Cash"/>
    <s v="Retail"/>
    <n v="56498.310000000005"/>
    <n v="0.56345899975157199"/>
    <m/>
  </r>
  <r>
    <s v="T1383"/>
    <x v="16"/>
    <x v="3"/>
    <x v="0"/>
    <s v="Chair"/>
    <x v="5"/>
    <n v="93983.52"/>
    <n v="62740.62"/>
    <s v="Card"/>
    <s v="Corporate"/>
    <n v="31242.9"/>
    <n v="0.33242955786291045"/>
    <m/>
  </r>
  <r>
    <s v="T1384"/>
    <x v="17"/>
    <x v="0"/>
    <x v="1"/>
    <s v="Phone"/>
    <x v="4"/>
    <n v="275036.24"/>
    <n v="188930.84"/>
    <s v="Cash"/>
    <s v="Corporate"/>
    <n v="86105.4"/>
    <n v="0.31306928861447492"/>
    <m/>
  </r>
  <r>
    <s v="T1385"/>
    <x v="156"/>
    <x v="4"/>
    <x v="2"/>
    <s v="Printer"/>
    <x v="0"/>
    <n v="359454.61"/>
    <n v="197262.75"/>
    <s v="Transfer"/>
    <s v="Retail"/>
    <n v="162191.85999999999"/>
    <n v="0.45121652494594516"/>
    <m/>
  </r>
  <r>
    <s v="T1386"/>
    <x v="88"/>
    <x v="3"/>
    <x v="0"/>
    <s v="Laptop"/>
    <x v="3"/>
    <n v="112921.97"/>
    <n v="50362.81"/>
    <s v="Card"/>
    <s v="Corporate"/>
    <n v="62559.16"/>
    <n v="0.55400344149150071"/>
    <m/>
  </r>
  <r>
    <s v="T1387"/>
    <x v="30"/>
    <x v="0"/>
    <x v="2"/>
    <s v="Phone"/>
    <x v="2"/>
    <n v="125380.88"/>
    <n v="51080.75"/>
    <s v="Card"/>
    <s v="Retail"/>
    <n v="74300.13"/>
    <n v="0.59259537817887387"/>
    <m/>
  </r>
  <r>
    <s v="T1388"/>
    <x v="86"/>
    <x v="1"/>
    <x v="0"/>
    <s v="Chair"/>
    <x v="2"/>
    <n v="485086.99"/>
    <n v="268428.90999999997"/>
    <s v="Cash"/>
    <s v="Retail"/>
    <n v="216658.08000000002"/>
    <n v="0.44663758143668214"/>
    <m/>
  </r>
  <r>
    <s v="T1389"/>
    <x v="62"/>
    <x v="0"/>
    <x v="0"/>
    <s v="Laptop"/>
    <x v="4"/>
    <n v="376880.5"/>
    <n v="215644.38"/>
    <s v="Card"/>
    <s v="Retail"/>
    <n v="161236.12"/>
    <n v="0.42781762388873923"/>
    <m/>
  </r>
  <r>
    <s v="T1390"/>
    <x v="98"/>
    <x v="0"/>
    <x v="0"/>
    <s v="Phone"/>
    <x v="1"/>
    <n v="383456.36"/>
    <n v="199515.69"/>
    <s v="Transfer"/>
    <s v="Corporate"/>
    <n v="183940.66999999998"/>
    <n v="0.47969127438647774"/>
    <m/>
  </r>
  <r>
    <s v="T1391"/>
    <x v="157"/>
    <x v="0"/>
    <x v="0"/>
    <s v="Desk"/>
    <x v="5"/>
    <n v="278960.96999999997"/>
    <n v="171112.37"/>
    <s v="Card"/>
    <s v="Corporate"/>
    <n v="107848.59999999998"/>
    <n v="0.38660820544178631"/>
    <m/>
  </r>
  <r>
    <s v="T1392"/>
    <x v="18"/>
    <x v="2"/>
    <x v="2"/>
    <s v="Cabinet"/>
    <x v="4"/>
    <n v="136447.87"/>
    <n v="78945.77"/>
    <s v="Cash"/>
    <s v="Corporate"/>
    <n v="57502.099999999991"/>
    <n v="0.42142174883345557"/>
    <m/>
  </r>
  <r>
    <s v="T1393"/>
    <x v="93"/>
    <x v="3"/>
    <x v="0"/>
    <s v="Printer"/>
    <x v="1"/>
    <n v="72204.41"/>
    <n v="53121.99"/>
    <s v="Card"/>
    <s v="Retail"/>
    <n v="19082.420000000006"/>
    <n v="0.26428330347135315"/>
    <m/>
  </r>
  <r>
    <s v="T1394"/>
    <x v="103"/>
    <x v="0"/>
    <x v="1"/>
    <s v="Laptop"/>
    <x v="5"/>
    <n v="143947.25"/>
    <n v="89780.15"/>
    <s v="Card"/>
    <s v="Corporate"/>
    <n v="54167.100000000006"/>
    <n v="0.37629826203696148"/>
    <m/>
  </r>
  <r>
    <s v="T1395"/>
    <x v="112"/>
    <x v="0"/>
    <x v="2"/>
    <s v="Printer"/>
    <x v="5"/>
    <n v="188798.71"/>
    <n v="79469.100000000006"/>
    <s v="Transfer"/>
    <s v="Retail"/>
    <n v="109329.60999999999"/>
    <n v="0.57908028079217277"/>
    <m/>
  </r>
  <r>
    <s v="T1396"/>
    <x v="61"/>
    <x v="1"/>
    <x v="0"/>
    <s v="Laptop"/>
    <x v="0"/>
    <n v="261952.73"/>
    <n v="152382.31"/>
    <s v="Cash"/>
    <s v="Corporate"/>
    <n v="109570.42000000001"/>
    <n v="0.41828317651051017"/>
    <m/>
  </r>
  <r>
    <s v="T1397"/>
    <x v="135"/>
    <x v="2"/>
    <x v="2"/>
    <s v="Cabinet"/>
    <x v="0"/>
    <n v="248203.74"/>
    <n v="138733.44"/>
    <s v="Transfer"/>
    <s v="Retail"/>
    <n v="109470.29999999999"/>
    <n v="0.44105016306361861"/>
    <m/>
  </r>
  <r>
    <s v="T1398"/>
    <x v="44"/>
    <x v="4"/>
    <x v="1"/>
    <s v="Desk"/>
    <x v="0"/>
    <n v="316761.90000000002"/>
    <n v="289956.34999999998"/>
    <s v="Transfer"/>
    <s v="Retail"/>
    <n v="26805.550000000047"/>
    <n v="8.4623655812141693E-2"/>
    <m/>
  </r>
  <r>
    <s v="T1399"/>
    <x v="126"/>
    <x v="0"/>
    <x v="1"/>
    <s v="Chair"/>
    <x v="5"/>
    <n v="295758.43"/>
    <n v="225322.8"/>
    <s v="Card"/>
    <s v="Retail"/>
    <n v="70435.63"/>
    <n v="0.23815256931138026"/>
    <m/>
  </r>
  <r>
    <s v="T1400"/>
    <x v="63"/>
    <x v="0"/>
    <x v="2"/>
    <s v="Desk"/>
    <x v="4"/>
    <n v="223092.62"/>
    <n v="172801.58"/>
    <s v="Cash"/>
    <s v="Retail"/>
    <n v="50291.040000000008"/>
    <n v="0.22542673083493309"/>
    <m/>
  </r>
  <r>
    <s v="T1401"/>
    <x v="61"/>
    <x v="0"/>
    <x v="1"/>
    <s v="Phone"/>
    <x v="5"/>
    <n v="63254.5"/>
    <n v="51046.46"/>
    <s v="Transfer"/>
    <s v="Retail"/>
    <n v="12208.04"/>
    <n v="0.19299875898157445"/>
    <m/>
  </r>
  <r>
    <s v="T1402"/>
    <x v="157"/>
    <x v="1"/>
    <x v="2"/>
    <s v="Desk"/>
    <x v="3"/>
    <n v="61001.73"/>
    <n v="43248.79"/>
    <s v="Transfer"/>
    <s v="Corporate"/>
    <n v="17752.940000000002"/>
    <n v="0.29102354965998506"/>
    <m/>
  </r>
  <r>
    <s v="T1403"/>
    <x v="8"/>
    <x v="2"/>
    <x v="1"/>
    <s v="Desk"/>
    <x v="3"/>
    <n v="329831.75"/>
    <n v="153950.13"/>
    <s v="Transfer"/>
    <s v="Corporate"/>
    <n v="175881.62"/>
    <n v="0.53324648097097993"/>
    <m/>
  </r>
  <r>
    <s v="T1404"/>
    <x v="50"/>
    <x v="4"/>
    <x v="1"/>
    <s v="Chair"/>
    <x v="3"/>
    <n v="166267.04"/>
    <n v="148750.15"/>
    <s v="Transfer"/>
    <s v="Corporate"/>
    <n v="17516.890000000014"/>
    <n v="0.10535395349553353"/>
    <m/>
  </r>
  <r>
    <s v="T1405"/>
    <x v="122"/>
    <x v="4"/>
    <x v="0"/>
    <s v="Desk"/>
    <x v="5"/>
    <n v="387043.76"/>
    <n v="355454.01"/>
    <s v="Transfer"/>
    <s v="Retail"/>
    <n v="31589.75"/>
    <n v="8.1618032028213036E-2"/>
    <m/>
  </r>
  <r>
    <s v="T1406"/>
    <x v="98"/>
    <x v="2"/>
    <x v="1"/>
    <s v="Laptop"/>
    <x v="4"/>
    <n v="168518.69"/>
    <n v="117272.97"/>
    <s v="Card"/>
    <s v="Corporate"/>
    <n v="51245.72"/>
    <n v="0.30409517187678115"/>
    <m/>
  </r>
  <r>
    <s v="T1407"/>
    <x v="158"/>
    <x v="3"/>
    <x v="0"/>
    <s v="Desk"/>
    <x v="0"/>
    <n v="437920.42"/>
    <n v="403156.96"/>
    <s v="Transfer"/>
    <s v="Corporate"/>
    <n v="34763.459999999963"/>
    <n v="7.9383053204050091E-2"/>
    <m/>
  </r>
  <r>
    <s v="T1408"/>
    <x v="159"/>
    <x v="1"/>
    <x v="0"/>
    <s v="Printer"/>
    <x v="1"/>
    <n v="71625.86"/>
    <n v="65900.12"/>
    <s v="Card"/>
    <s v="Corporate"/>
    <n v="5725.7400000000052"/>
    <n v="7.9939563727402435E-2"/>
    <m/>
  </r>
  <r>
    <s v="T1409"/>
    <x v="54"/>
    <x v="4"/>
    <x v="1"/>
    <s v="Laptop"/>
    <x v="5"/>
    <n v="423837.18"/>
    <n v="290182.65000000002"/>
    <s v="Transfer"/>
    <s v="Retail"/>
    <n v="133654.52999999997"/>
    <n v="0.31534404320074039"/>
    <m/>
  </r>
  <r>
    <s v="T1410"/>
    <x v="31"/>
    <x v="0"/>
    <x v="1"/>
    <s v="Chair"/>
    <x v="0"/>
    <n v="357405.3"/>
    <n v="191947.69"/>
    <s v="Transfer"/>
    <s v="Corporate"/>
    <n v="165457.60999999999"/>
    <n v="0.46294112034712409"/>
    <m/>
  </r>
  <r>
    <s v="T1411"/>
    <x v="92"/>
    <x v="0"/>
    <x v="2"/>
    <s v="Printer"/>
    <x v="4"/>
    <n v="338710.36"/>
    <n v="201766.47"/>
    <s v="Cash"/>
    <s v="Retail"/>
    <n v="136943.88999999998"/>
    <n v="0.40430971760060719"/>
    <m/>
  </r>
  <r>
    <s v="T1412"/>
    <x v="159"/>
    <x v="4"/>
    <x v="0"/>
    <s v="Chair"/>
    <x v="4"/>
    <n v="366901.57"/>
    <n v="212649.81"/>
    <s v="Cash"/>
    <s v="Retail"/>
    <n v="154251.76"/>
    <n v="0.42041727976252596"/>
    <m/>
  </r>
  <r>
    <s v="T1413"/>
    <x v="126"/>
    <x v="1"/>
    <x v="1"/>
    <s v="Printer"/>
    <x v="0"/>
    <n v="368682"/>
    <n v="324278.53999999998"/>
    <s v="Cash"/>
    <s v="Retail"/>
    <n v="44403.460000000021"/>
    <n v="0.12043837236425978"/>
    <m/>
  </r>
  <r>
    <s v="T1414"/>
    <x v="44"/>
    <x v="0"/>
    <x v="1"/>
    <s v="Desk"/>
    <x v="5"/>
    <n v="490894.88"/>
    <n v="292386.46000000002"/>
    <s v="Card"/>
    <s v="Retail"/>
    <n v="198508.41999999998"/>
    <n v="0.40438070977639851"/>
    <m/>
  </r>
  <r>
    <s v="T1415"/>
    <x v="60"/>
    <x v="0"/>
    <x v="0"/>
    <s v="Laptop"/>
    <x v="5"/>
    <n v="84908.46"/>
    <n v="72738"/>
    <s v="Transfer"/>
    <s v="Corporate"/>
    <n v="12170.460000000006"/>
    <n v="0.14333624705948037"/>
    <m/>
  </r>
  <r>
    <s v="T1416"/>
    <x v="108"/>
    <x v="4"/>
    <x v="1"/>
    <s v="Laptop"/>
    <x v="1"/>
    <n v="370241.69"/>
    <n v="307558.09000000003"/>
    <s v="Cash"/>
    <s v="Corporate"/>
    <n v="62683.599999999977"/>
    <n v="0.16930454266238892"/>
    <m/>
  </r>
  <r>
    <s v="T1417"/>
    <x v="45"/>
    <x v="0"/>
    <x v="0"/>
    <s v="Chair"/>
    <x v="3"/>
    <n v="153447.32999999999"/>
    <n v="86323.3"/>
    <s v="Cash"/>
    <s v="Corporate"/>
    <n v="67124.029999999984"/>
    <n v="0.43744019527742833"/>
    <m/>
  </r>
  <r>
    <s v="T1418"/>
    <x v="5"/>
    <x v="1"/>
    <x v="2"/>
    <s v="Desk"/>
    <x v="3"/>
    <n v="474717.64"/>
    <n v="191332.95"/>
    <s v="Cash"/>
    <s v="Retail"/>
    <n v="283384.69"/>
    <n v="0.59695420208105177"/>
    <m/>
  </r>
  <r>
    <s v="T1419"/>
    <x v="9"/>
    <x v="4"/>
    <x v="1"/>
    <s v="Laptop"/>
    <x v="1"/>
    <n v="340474.57"/>
    <n v="259929.58"/>
    <s v="Card"/>
    <s v="Corporate"/>
    <n v="80544.99000000002"/>
    <n v="0.23656683082087457"/>
    <m/>
  </r>
  <r>
    <s v="T1420"/>
    <x v="89"/>
    <x v="0"/>
    <x v="2"/>
    <s v="Laptop"/>
    <x v="0"/>
    <n v="378741.97"/>
    <n v="259405.75"/>
    <s v="Card"/>
    <s v="Corporate"/>
    <n v="119336.21999999997"/>
    <n v="0.31508580894797578"/>
    <m/>
  </r>
  <r>
    <s v="T1421"/>
    <x v="102"/>
    <x v="3"/>
    <x v="2"/>
    <s v="Phone"/>
    <x v="1"/>
    <n v="440034.32"/>
    <n v="293368.84999999998"/>
    <s v="Card"/>
    <s v="Corporate"/>
    <n v="146665.47000000003"/>
    <n v="0.33330461587632537"/>
    <m/>
  </r>
  <r>
    <s v="T1422"/>
    <x v="61"/>
    <x v="0"/>
    <x v="0"/>
    <s v="Phone"/>
    <x v="5"/>
    <n v="179604.04"/>
    <n v="167208.4"/>
    <s v="Card"/>
    <s v="Corporate"/>
    <n v="12395.640000000014"/>
    <n v="6.901648760239476E-2"/>
    <m/>
  </r>
  <r>
    <s v="T1423"/>
    <x v="40"/>
    <x v="2"/>
    <x v="1"/>
    <s v="Laptop"/>
    <x v="2"/>
    <n v="482512.36"/>
    <n v="366541.78"/>
    <s v="Transfer"/>
    <s v="Retail"/>
    <n v="115970.57999999996"/>
    <n v="0.24034737680087606"/>
    <m/>
  </r>
  <r>
    <s v="T1424"/>
    <x v="84"/>
    <x v="4"/>
    <x v="2"/>
    <s v="Laptop"/>
    <x v="3"/>
    <n v="172627.28"/>
    <n v="113975.03999999999"/>
    <s v="Card"/>
    <s v="Corporate"/>
    <n v="58652.240000000005"/>
    <n v="0.33976229017800669"/>
    <m/>
  </r>
  <r>
    <s v="T1425"/>
    <x v="160"/>
    <x v="1"/>
    <x v="1"/>
    <s v="Desk"/>
    <x v="5"/>
    <n v="136348.09"/>
    <n v="59246.07"/>
    <s v="Cash"/>
    <s v="Retail"/>
    <n v="77102.01999999999"/>
    <n v="0.56547928174131368"/>
    <m/>
  </r>
  <r>
    <s v="T1426"/>
    <x v="21"/>
    <x v="4"/>
    <x v="2"/>
    <s v="Desk"/>
    <x v="3"/>
    <n v="329083.74"/>
    <n v="212437.17"/>
    <s v="Transfer"/>
    <s v="Corporate"/>
    <n v="116646.56999999998"/>
    <n v="0.35445862502960485"/>
    <m/>
  </r>
  <r>
    <s v="T1427"/>
    <x v="121"/>
    <x v="3"/>
    <x v="0"/>
    <s v="Laptop"/>
    <x v="3"/>
    <n v="465858.79"/>
    <n v="247238.25"/>
    <s v="Cash"/>
    <s v="Corporate"/>
    <n v="218620.53999999998"/>
    <n v="0.46928499513768968"/>
    <m/>
  </r>
  <r>
    <s v="T1428"/>
    <x v="87"/>
    <x v="0"/>
    <x v="1"/>
    <s v="Printer"/>
    <x v="2"/>
    <n v="478097.73"/>
    <n v="254408.42"/>
    <s v="Card"/>
    <s v="Retail"/>
    <n v="223689.30999999997"/>
    <n v="0.46787360818466966"/>
    <m/>
  </r>
  <r>
    <s v="T1429"/>
    <x v="151"/>
    <x v="4"/>
    <x v="2"/>
    <s v="Chair"/>
    <x v="4"/>
    <n v="467339.25"/>
    <n v="394924.12"/>
    <s v="Cash"/>
    <s v="Corporate"/>
    <n v="72415.13"/>
    <n v="0.1549519540676286"/>
    <m/>
  </r>
  <r>
    <s v="T1430"/>
    <x v="131"/>
    <x v="0"/>
    <x v="0"/>
    <s v="Printer"/>
    <x v="1"/>
    <n v="449335.96"/>
    <n v="346896.33"/>
    <s v="Card"/>
    <s v="Corporate"/>
    <n v="102439.63"/>
    <n v="0.22798003970125161"/>
    <m/>
  </r>
  <r>
    <s v="T1431"/>
    <x v="40"/>
    <x v="0"/>
    <x v="1"/>
    <s v="Cabinet"/>
    <x v="4"/>
    <n v="317688.15999999997"/>
    <n v="281622.90999999997"/>
    <s v="Transfer"/>
    <s v="Retail"/>
    <n v="36065.25"/>
    <n v="0.11352406082744791"/>
    <m/>
  </r>
  <r>
    <s v="T1432"/>
    <x v="158"/>
    <x v="1"/>
    <x v="2"/>
    <s v="Chair"/>
    <x v="5"/>
    <n v="258385.77"/>
    <n v="122662.07"/>
    <s v="Cash"/>
    <s v="Corporate"/>
    <n v="135723.69999999998"/>
    <n v="0.52527544376766566"/>
    <m/>
  </r>
  <r>
    <s v="T1433"/>
    <x v="108"/>
    <x v="2"/>
    <x v="1"/>
    <s v="Printer"/>
    <x v="0"/>
    <n v="293478.77"/>
    <n v="169629.66"/>
    <s v="Card"/>
    <s v="Corporate"/>
    <n v="123849.11000000002"/>
    <n v="0.42200364271664353"/>
    <m/>
  </r>
  <r>
    <s v="T1434"/>
    <x v="13"/>
    <x v="3"/>
    <x v="0"/>
    <s v="Cabinet"/>
    <x v="0"/>
    <n v="74798.09"/>
    <n v="37278.28"/>
    <s v="Transfer"/>
    <s v="Retail"/>
    <n v="37519.81"/>
    <n v="0.50161454657465188"/>
    <m/>
  </r>
  <r>
    <s v="T1435"/>
    <x v="132"/>
    <x v="0"/>
    <x v="2"/>
    <s v="Printer"/>
    <x v="0"/>
    <n v="84487.45"/>
    <n v="55239.4"/>
    <s v="Transfer"/>
    <s v="Retail"/>
    <n v="29248.049999999996"/>
    <n v="0.34618218445461424"/>
    <m/>
  </r>
  <r>
    <s v="T1436"/>
    <x v="161"/>
    <x v="4"/>
    <x v="0"/>
    <s v="Desk"/>
    <x v="4"/>
    <n v="58638.61"/>
    <n v="32472.67"/>
    <s v="Transfer"/>
    <s v="Corporate"/>
    <n v="26165.940000000002"/>
    <n v="0.44622374234314222"/>
    <m/>
  </r>
  <r>
    <s v="T1437"/>
    <x v="11"/>
    <x v="0"/>
    <x v="0"/>
    <s v="Chair"/>
    <x v="5"/>
    <n v="417620.54"/>
    <n v="374271.91"/>
    <s v="Card"/>
    <s v="Retail"/>
    <n v="43348.630000000005"/>
    <n v="0.10379908516951777"/>
    <m/>
  </r>
  <r>
    <s v="T1438"/>
    <x v="162"/>
    <x v="2"/>
    <x v="2"/>
    <s v="Desk"/>
    <x v="4"/>
    <n v="428185.55"/>
    <n v="217062.91"/>
    <s v="Transfer"/>
    <s v="Retail"/>
    <n v="211122.63999999998"/>
    <n v="0.4930634394364779"/>
    <m/>
  </r>
  <r>
    <s v="T1439"/>
    <x v="87"/>
    <x v="4"/>
    <x v="0"/>
    <s v="Phone"/>
    <x v="3"/>
    <n v="258753.83"/>
    <n v="225755.77"/>
    <s v="Card"/>
    <s v="Retail"/>
    <n v="32998.06"/>
    <n v="0.1275268466557577"/>
    <m/>
  </r>
  <r>
    <s v="T1440"/>
    <x v="37"/>
    <x v="1"/>
    <x v="1"/>
    <s v="Desk"/>
    <x v="1"/>
    <n v="89732.31"/>
    <n v="56740.89"/>
    <s v="Cash"/>
    <s v="Retail"/>
    <n v="32991.42"/>
    <n v="0.36766489127494878"/>
    <m/>
  </r>
  <r>
    <s v="T1441"/>
    <x v="150"/>
    <x v="0"/>
    <x v="0"/>
    <s v="Desk"/>
    <x v="2"/>
    <n v="258971.45"/>
    <n v="149602.22"/>
    <s v="Card"/>
    <s v="Corporate"/>
    <n v="109369.23000000001"/>
    <n v="0.42232157251310909"/>
    <m/>
  </r>
  <r>
    <s v="T1442"/>
    <x v="64"/>
    <x v="2"/>
    <x v="2"/>
    <s v="Phone"/>
    <x v="0"/>
    <n v="209754.56"/>
    <n v="148344.32999999999"/>
    <s v="Card"/>
    <s v="Retail"/>
    <n v="61410.23000000001"/>
    <n v="0.29277184724851757"/>
    <m/>
  </r>
  <r>
    <s v="T1443"/>
    <x v="163"/>
    <x v="2"/>
    <x v="0"/>
    <s v="Cabinet"/>
    <x v="0"/>
    <n v="310624.95"/>
    <n v="277817.75"/>
    <s v="Card"/>
    <s v="Corporate"/>
    <n v="32807.200000000012"/>
    <n v="0.10561675744334127"/>
    <m/>
  </r>
  <r>
    <s v="T1444"/>
    <x v="124"/>
    <x v="1"/>
    <x v="0"/>
    <s v="Printer"/>
    <x v="2"/>
    <n v="333310.3"/>
    <n v="313197.15999999997"/>
    <s v="Card"/>
    <s v="Corporate"/>
    <n v="20113.140000000014"/>
    <n v="6.0343589742051222E-2"/>
    <m/>
  </r>
  <r>
    <s v="T1445"/>
    <x v="3"/>
    <x v="1"/>
    <x v="2"/>
    <s v="Phone"/>
    <x v="4"/>
    <n v="260299.49"/>
    <n v="183540.11"/>
    <s v="Cash"/>
    <s v="Corporate"/>
    <n v="76759.38"/>
    <n v="0.29488870685071267"/>
    <m/>
  </r>
  <r>
    <s v="T1446"/>
    <x v="53"/>
    <x v="4"/>
    <x v="0"/>
    <s v="Desk"/>
    <x v="2"/>
    <n v="447511.52"/>
    <n v="376073.61"/>
    <s v="Transfer"/>
    <s v="Corporate"/>
    <n v="71437.910000000033"/>
    <n v="0.15963367825704247"/>
    <m/>
  </r>
  <r>
    <s v="T1447"/>
    <x v="60"/>
    <x v="1"/>
    <x v="1"/>
    <s v="Laptop"/>
    <x v="5"/>
    <n v="376088.09"/>
    <n v="190145.11"/>
    <s v="Card"/>
    <s v="Corporate"/>
    <n v="185942.98000000004"/>
    <n v="0.49441337001658314"/>
    <m/>
  </r>
  <r>
    <s v="T1448"/>
    <x v="44"/>
    <x v="0"/>
    <x v="0"/>
    <s v="Chair"/>
    <x v="5"/>
    <n v="443806.53"/>
    <n v="412497.25"/>
    <s v="Card"/>
    <s v="Corporate"/>
    <n v="31309.280000000028"/>
    <n v="7.0547136834602286E-2"/>
    <m/>
  </r>
  <r>
    <s v="T1449"/>
    <x v="97"/>
    <x v="2"/>
    <x v="2"/>
    <s v="Chair"/>
    <x v="1"/>
    <n v="176861.33"/>
    <n v="135362.74"/>
    <s v="Cash"/>
    <s v="Corporate"/>
    <n v="41498.589999999997"/>
    <n v="0.2346391379053861"/>
    <m/>
  </r>
  <r>
    <s v="T1450"/>
    <x v="151"/>
    <x v="1"/>
    <x v="0"/>
    <s v="Desk"/>
    <x v="1"/>
    <n v="259551.18"/>
    <n v="235170.61"/>
    <s v="Transfer"/>
    <s v="Corporate"/>
    <n v="24380.570000000007"/>
    <n v="9.3933574102803188E-2"/>
    <m/>
  </r>
  <r>
    <s v="T1451"/>
    <x v="48"/>
    <x v="1"/>
    <x v="1"/>
    <s v="Laptop"/>
    <x v="0"/>
    <n v="465612.1"/>
    <n v="299470.37"/>
    <s v="Transfer"/>
    <s v="Retail"/>
    <n v="166141.72999999998"/>
    <n v="0.35682433940183256"/>
    <m/>
  </r>
  <r>
    <s v="T1452"/>
    <x v="122"/>
    <x v="0"/>
    <x v="2"/>
    <s v="Cabinet"/>
    <x v="3"/>
    <n v="318054.39"/>
    <n v="272584.21999999997"/>
    <s v="Cash"/>
    <s v="Retail"/>
    <n v="45470.170000000042"/>
    <n v="0.14296350382084033"/>
    <m/>
  </r>
  <r>
    <s v="T1453"/>
    <x v="164"/>
    <x v="0"/>
    <x v="0"/>
    <s v="Cabinet"/>
    <x v="3"/>
    <n v="228972.64"/>
    <n v="201571.01"/>
    <s v="Card"/>
    <s v="Retail"/>
    <n v="27401.630000000005"/>
    <n v="0.11967207086401241"/>
    <m/>
  </r>
  <r>
    <s v="T1454"/>
    <x v="65"/>
    <x v="3"/>
    <x v="0"/>
    <s v="Printer"/>
    <x v="1"/>
    <n v="296614.84999999998"/>
    <n v="125281.14"/>
    <s v="Cash"/>
    <s v="Corporate"/>
    <n v="171333.70999999996"/>
    <n v="0.5776302501375099"/>
    <m/>
  </r>
  <r>
    <s v="T1455"/>
    <x v="42"/>
    <x v="2"/>
    <x v="0"/>
    <s v="Phone"/>
    <x v="0"/>
    <n v="371822.81"/>
    <n v="314662.84000000003"/>
    <s v="Transfer"/>
    <s v="Corporate"/>
    <n v="57159.969999999972"/>
    <n v="0.15372905712804433"/>
    <m/>
  </r>
  <r>
    <s v="T1456"/>
    <x v="22"/>
    <x v="0"/>
    <x v="2"/>
    <s v="Phone"/>
    <x v="2"/>
    <n v="111262.79"/>
    <n v="56317.77"/>
    <s v="Cash"/>
    <s v="Retail"/>
    <n v="54945.02"/>
    <n v="0.49383104630038488"/>
    <m/>
  </r>
  <r>
    <s v="T1457"/>
    <x v="123"/>
    <x v="0"/>
    <x v="2"/>
    <s v="Laptop"/>
    <x v="1"/>
    <n v="377162.75"/>
    <n v="324218.58"/>
    <s v="Transfer"/>
    <s v="Corporate"/>
    <n v="52944.169999999984"/>
    <n v="0.14037486469700411"/>
    <m/>
  </r>
  <r>
    <s v="T1458"/>
    <x v="156"/>
    <x v="1"/>
    <x v="0"/>
    <s v="Chair"/>
    <x v="0"/>
    <n v="181962.06"/>
    <n v="91222.61"/>
    <s v="Cash"/>
    <s v="Corporate"/>
    <n v="90739.45"/>
    <n v="0.49867236060088571"/>
    <m/>
  </r>
  <r>
    <s v="T1459"/>
    <x v="65"/>
    <x v="1"/>
    <x v="1"/>
    <s v="Laptop"/>
    <x v="4"/>
    <n v="116228.01"/>
    <n v="71357.36"/>
    <s v="Card"/>
    <s v="Retail"/>
    <n v="44870.649999999994"/>
    <n v="0.38605711308315438"/>
    <m/>
  </r>
  <r>
    <s v="T1460"/>
    <x v="132"/>
    <x v="0"/>
    <x v="2"/>
    <s v="Desk"/>
    <x v="0"/>
    <n v="90409.59"/>
    <n v="62030.69"/>
    <s v="Card"/>
    <s v="Corporate"/>
    <n v="28378.899999999994"/>
    <n v="0.31389258595244152"/>
    <m/>
  </r>
  <r>
    <s v="T1461"/>
    <x v="77"/>
    <x v="2"/>
    <x v="2"/>
    <s v="Laptop"/>
    <x v="0"/>
    <n v="99674.46"/>
    <n v="74276.899999999994"/>
    <s v="Transfer"/>
    <s v="Retail"/>
    <n v="25397.560000000012"/>
    <n v="0.2548050924981185"/>
    <m/>
  </r>
  <r>
    <s v="T1462"/>
    <x v="86"/>
    <x v="2"/>
    <x v="2"/>
    <s v="Laptop"/>
    <x v="3"/>
    <n v="297438.51"/>
    <n v="131034.51"/>
    <s v="Cash"/>
    <s v="Retail"/>
    <n v="166404"/>
    <n v="0.55945681008151904"/>
    <m/>
  </r>
  <r>
    <s v="T1463"/>
    <x v="4"/>
    <x v="4"/>
    <x v="2"/>
    <s v="Desk"/>
    <x v="0"/>
    <n v="216614.15"/>
    <n v="102698.78"/>
    <s v="Cash"/>
    <s v="Corporate"/>
    <n v="113915.37"/>
    <n v="0.52589071397228671"/>
    <m/>
  </r>
  <r>
    <s v="T1464"/>
    <x v="83"/>
    <x v="1"/>
    <x v="2"/>
    <s v="Phone"/>
    <x v="0"/>
    <n v="261847.78"/>
    <n v="113541.07"/>
    <s v="Transfer"/>
    <s v="Retail"/>
    <n v="148306.71"/>
    <n v="0.56638521052192992"/>
    <m/>
  </r>
  <r>
    <s v="T1465"/>
    <x v="124"/>
    <x v="4"/>
    <x v="0"/>
    <s v="Laptop"/>
    <x v="1"/>
    <n v="300046.25"/>
    <n v="255782.96"/>
    <s v="Cash"/>
    <s v="Retail"/>
    <n v="44263.290000000008"/>
    <n v="0.14752155709328149"/>
    <m/>
  </r>
  <r>
    <s v="T1466"/>
    <x v="78"/>
    <x v="3"/>
    <x v="1"/>
    <s v="Desk"/>
    <x v="2"/>
    <n v="142562.43"/>
    <n v="68685.919999999998"/>
    <s v="Cash"/>
    <s v="Corporate"/>
    <n v="73876.509999999995"/>
    <n v="0.51820462095097564"/>
    <m/>
  </r>
  <r>
    <s v="T1467"/>
    <x v="52"/>
    <x v="0"/>
    <x v="2"/>
    <s v="Desk"/>
    <x v="5"/>
    <n v="416842.5"/>
    <n v="365322.23999999999"/>
    <s v="Cash"/>
    <s v="Retail"/>
    <n v="51520.260000000009"/>
    <n v="0.12359646629122513"/>
    <m/>
  </r>
  <r>
    <s v="T1468"/>
    <x v="115"/>
    <x v="4"/>
    <x v="2"/>
    <s v="Printer"/>
    <x v="3"/>
    <n v="314968.63"/>
    <n v="143480.07"/>
    <s v="Transfer"/>
    <s v="Retail"/>
    <n v="171488.56"/>
    <n v="0.54446234852023201"/>
    <m/>
  </r>
  <r>
    <s v="T1469"/>
    <x v="95"/>
    <x v="0"/>
    <x v="0"/>
    <s v="Desk"/>
    <x v="0"/>
    <n v="401583.6"/>
    <n v="381453.59"/>
    <s v="Card"/>
    <s v="Retail"/>
    <n v="20130.009999999951"/>
    <n v="5.0126573893953717E-2"/>
    <m/>
  </r>
  <r>
    <s v="T1470"/>
    <x v="135"/>
    <x v="2"/>
    <x v="0"/>
    <s v="Desk"/>
    <x v="3"/>
    <n v="197663.66"/>
    <n v="125151.19"/>
    <s v="Transfer"/>
    <s v="Corporate"/>
    <n v="72512.47"/>
    <n v="0.3668477554245429"/>
    <m/>
  </r>
  <r>
    <s v="T1471"/>
    <x v="26"/>
    <x v="3"/>
    <x v="2"/>
    <s v="Laptop"/>
    <x v="2"/>
    <n v="329734.48"/>
    <n v="307870.82"/>
    <s v="Cash"/>
    <s v="Retail"/>
    <n v="21863.659999999974"/>
    <n v="6.6306866057804975E-2"/>
    <m/>
  </r>
  <r>
    <s v="T1472"/>
    <x v="165"/>
    <x v="0"/>
    <x v="2"/>
    <s v="Chair"/>
    <x v="4"/>
    <n v="232569.43"/>
    <n v="106791.67999999999"/>
    <s v="Cash"/>
    <s v="Retail"/>
    <n v="125777.75"/>
    <n v="0.54081806882357675"/>
    <m/>
  </r>
  <r>
    <s v="T1473"/>
    <x v="97"/>
    <x v="4"/>
    <x v="1"/>
    <s v="Desk"/>
    <x v="3"/>
    <n v="351866.36"/>
    <n v="308495.83"/>
    <s v="Cash"/>
    <s v="Corporate"/>
    <n v="43370.52999999997"/>
    <n v="0.123258529175679"/>
    <m/>
  </r>
  <r>
    <s v="T1474"/>
    <x v="143"/>
    <x v="2"/>
    <x v="2"/>
    <s v="Cabinet"/>
    <x v="4"/>
    <n v="457413.51"/>
    <n v="332411.59999999998"/>
    <s v="Transfer"/>
    <s v="Retail"/>
    <n v="125001.91000000003"/>
    <n v="0.27327988191691155"/>
    <m/>
  </r>
  <r>
    <s v="T1475"/>
    <x v="40"/>
    <x v="1"/>
    <x v="2"/>
    <s v="Cabinet"/>
    <x v="4"/>
    <n v="446977.54"/>
    <n v="206534.96"/>
    <s v="Card"/>
    <s v="Corporate"/>
    <n v="240442.58"/>
    <n v="0.53792989240577949"/>
    <m/>
  </r>
  <r>
    <s v="T1476"/>
    <x v="146"/>
    <x v="0"/>
    <x v="1"/>
    <s v="Chair"/>
    <x v="2"/>
    <n v="399539.65"/>
    <n v="257815.79"/>
    <s v="Cash"/>
    <s v="Retail"/>
    <n v="141723.86000000002"/>
    <n v="0.35471788594698928"/>
    <m/>
  </r>
  <r>
    <s v="T1477"/>
    <x v="114"/>
    <x v="0"/>
    <x v="2"/>
    <s v="Chair"/>
    <x v="3"/>
    <n v="149774.79999999999"/>
    <n v="75823.81"/>
    <s v="Transfer"/>
    <s v="Corporate"/>
    <n v="73950.989999999991"/>
    <n v="0.49374788015073295"/>
    <m/>
  </r>
  <r>
    <s v="T1478"/>
    <x v="143"/>
    <x v="4"/>
    <x v="2"/>
    <s v="Cabinet"/>
    <x v="0"/>
    <n v="283416.56"/>
    <n v="117484.78"/>
    <s v="Transfer"/>
    <s v="Retail"/>
    <n v="165931.78"/>
    <n v="0.5854695999415136"/>
    <m/>
  </r>
  <r>
    <s v="T1479"/>
    <x v="161"/>
    <x v="2"/>
    <x v="1"/>
    <s v="Cabinet"/>
    <x v="1"/>
    <n v="271942.40000000002"/>
    <n v="251048.58"/>
    <s v="Transfer"/>
    <s v="Corporate"/>
    <n v="20893.820000000036"/>
    <n v="7.6831784966228264E-2"/>
    <m/>
  </r>
  <r>
    <s v="T1480"/>
    <x v="166"/>
    <x v="1"/>
    <x v="0"/>
    <s v="Cabinet"/>
    <x v="5"/>
    <n v="248142.45"/>
    <n v="142695.12"/>
    <s v="Cash"/>
    <s v="Retail"/>
    <n v="105447.33000000002"/>
    <n v="0.42494675941178145"/>
    <m/>
  </r>
  <r>
    <s v="T1481"/>
    <x v="125"/>
    <x v="3"/>
    <x v="0"/>
    <s v="Chair"/>
    <x v="3"/>
    <n v="434944.49"/>
    <n v="276433.25"/>
    <s v="Transfer"/>
    <s v="Retail"/>
    <n v="158511.24"/>
    <n v="0.36444016108814253"/>
    <m/>
  </r>
  <r>
    <s v="T1482"/>
    <x v="45"/>
    <x v="4"/>
    <x v="2"/>
    <s v="Desk"/>
    <x v="1"/>
    <n v="156476.6"/>
    <n v="121080.42"/>
    <s v="Card"/>
    <s v="Retail"/>
    <n v="35396.180000000008"/>
    <n v="0.22620749683978311"/>
    <m/>
  </r>
  <r>
    <s v="T1483"/>
    <x v="74"/>
    <x v="4"/>
    <x v="1"/>
    <s v="Laptop"/>
    <x v="1"/>
    <n v="224146.21"/>
    <n v="157830.87"/>
    <s v="Transfer"/>
    <s v="Corporate"/>
    <n v="66315.34"/>
    <n v="0.29585751193383997"/>
    <m/>
  </r>
  <r>
    <s v="T1484"/>
    <x v="130"/>
    <x v="4"/>
    <x v="2"/>
    <s v="Cabinet"/>
    <x v="4"/>
    <n v="265330.65999999997"/>
    <n v="248081.48"/>
    <s v="Cash"/>
    <s v="Corporate"/>
    <n v="17249.179999999964"/>
    <n v="6.5010127363343412E-2"/>
    <m/>
  </r>
  <r>
    <s v="T1485"/>
    <x v="139"/>
    <x v="0"/>
    <x v="2"/>
    <s v="Chair"/>
    <x v="5"/>
    <n v="389349.2"/>
    <n v="302843.61"/>
    <s v="Card"/>
    <s v="Retail"/>
    <n v="86505.590000000026"/>
    <n v="0.22217996081666541"/>
    <m/>
  </r>
  <r>
    <s v="T1486"/>
    <x v="129"/>
    <x v="1"/>
    <x v="2"/>
    <s v="Phone"/>
    <x v="2"/>
    <n v="255710.73"/>
    <n v="223200.83"/>
    <s v="Transfer"/>
    <s v="Corporate"/>
    <n v="32509.900000000023"/>
    <n v="0.12713545497289075"/>
    <m/>
  </r>
  <r>
    <s v="T1487"/>
    <x v="59"/>
    <x v="4"/>
    <x v="1"/>
    <s v="Cabinet"/>
    <x v="0"/>
    <n v="299907.15999999997"/>
    <n v="171499.38"/>
    <s v="Cash"/>
    <s v="Corporate"/>
    <n v="128407.77999999997"/>
    <n v="0.42815843409673843"/>
    <m/>
  </r>
  <r>
    <s v="T1488"/>
    <x v="93"/>
    <x v="0"/>
    <x v="1"/>
    <s v="Phone"/>
    <x v="5"/>
    <n v="76048.44"/>
    <n v="44410.3"/>
    <s v="Transfer"/>
    <s v="Corporate"/>
    <n v="31638.14"/>
    <n v="0.41602615385667346"/>
    <m/>
  </r>
  <r>
    <s v="T1489"/>
    <x v="19"/>
    <x v="4"/>
    <x v="1"/>
    <s v="Printer"/>
    <x v="0"/>
    <n v="438078.96"/>
    <n v="365188.06"/>
    <s v="Transfer"/>
    <s v="Retail"/>
    <n v="72890.900000000023"/>
    <n v="0.16638758455781583"/>
    <m/>
  </r>
  <r>
    <s v="T1490"/>
    <x v="134"/>
    <x v="0"/>
    <x v="1"/>
    <s v="Cabinet"/>
    <x v="3"/>
    <n v="89989.34"/>
    <n v="52059.7"/>
    <s v="Cash"/>
    <s v="Retail"/>
    <n v="37929.64"/>
    <n v="0.42149036763687792"/>
    <m/>
  </r>
  <r>
    <s v="T1491"/>
    <x v="46"/>
    <x v="0"/>
    <x v="2"/>
    <s v="Printer"/>
    <x v="1"/>
    <n v="236714.68"/>
    <n v="187025.98"/>
    <s v="Card"/>
    <s v="Corporate"/>
    <n v="49688.699999999983"/>
    <n v="0.20990966846669579"/>
    <m/>
  </r>
  <r>
    <s v="T1492"/>
    <x v="133"/>
    <x v="1"/>
    <x v="1"/>
    <s v="Laptop"/>
    <x v="0"/>
    <n v="311364.67"/>
    <n v="271427.84000000003"/>
    <s v="Cash"/>
    <s v="Corporate"/>
    <n v="39936.829999999958"/>
    <n v="0.12826384573432806"/>
    <m/>
  </r>
  <r>
    <s v="T1493"/>
    <x v="138"/>
    <x v="2"/>
    <x v="1"/>
    <s v="Phone"/>
    <x v="1"/>
    <n v="349928.91"/>
    <n v="276954.01"/>
    <s v="Transfer"/>
    <s v="Corporate"/>
    <n v="72974.899999999965"/>
    <n v="0.2085420721597423"/>
    <m/>
  </r>
  <r>
    <s v="T1494"/>
    <x v="79"/>
    <x v="2"/>
    <x v="1"/>
    <s v="Desk"/>
    <x v="5"/>
    <n v="143914.76"/>
    <n v="67177.3"/>
    <s v="Cash"/>
    <s v="Retail"/>
    <n v="76737.460000000006"/>
    <n v="0.5332146612341917"/>
    <m/>
  </r>
  <r>
    <s v="T1495"/>
    <x v="124"/>
    <x v="4"/>
    <x v="0"/>
    <s v="Cabinet"/>
    <x v="0"/>
    <n v="178383.03"/>
    <n v="86089.8"/>
    <s v="Cash"/>
    <s v="Retail"/>
    <n v="92293.23"/>
    <n v="0.5173879488424431"/>
    <m/>
  </r>
  <r>
    <s v="T1496"/>
    <x v="38"/>
    <x v="0"/>
    <x v="0"/>
    <s v="Chair"/>
    <x v="4"/>
    <n v="271077.99"/>
    <n v="132497.28"/>
    <s v="Cash"/>
    <s v="Corporate"/>
    <n v="138580.71"/>
    <n v="0.51122081139822528"/>
    <m/>
  </r>
  <r>
    <s v="T1497"/>
    <x v="116"/>
    <x v="1"/>
    <x v="0"/>
    <s v="Chair"/>
    <x v="0"/>
    <n v="388523.74"/>
    <n v="274686.40999999997"/>
    <s v="Cash"/>
    <s v="Retail"/>
    <n v="113837.33000000002"/>
    <n v="0.29299967615878508"/>
    <m/>
  </r>
  <r>
    <s v="T1498"/>
    <x v="16"/>
    <x v="1"/>
    <x v="2"/>
    <s v="Chair"/>
    <x v="2"/>
    <n v="279105.87"/>
    <n v="113676.34"/>
    <s v="Transfer"/>
    <s v="Retail"/>
    <n v="165429.53"/>
    <n v="0.59271247143601813"/>
    <m/>
  </r>
  <r>
    <s v="T1499"/>
    <x v="49"/>
    <x v="3"/>
    <x v="2"/>
    <s v="Phone"/>
    <x v="3"/>
    <n v="388046.07"/>
    <n v="310056.52"/>
    <s v="Card"/>
    <s v="Corporate"/>
    <n v="77989.549999999988"/>
    <n v="0.20098013104474938"/>
    <m/>
  </r>
  <r>
    <s v="T1500"/>
    <x v="3"/>
    <x v="3"/>
    <x v="1"/>
    <s v="Phone"/>
    <x v="2"/>
    <n v="180581.44"/>
    <n v="169519.3"/>
    <s v="Cash"/>
    <s v="Corporate"/>
    <n v="11062.140000000014"/>
    <n v="6.1258454910980961E-2"/>
    <m/>
  </r>
  <r>
    <s v="T1501"/>
    <x v="147"/>
    <x v="0"/>
    <x v="1"/>
    <s v="Laptop"/>
    <x v="5"/>
    <n v="56515.15"/>
    <n v="41068.78"/>
    <s v="Card"/>
    <s v="Corporate"/>
    <n v="15446.370000000003"/>
    <n v="0.27331379285023577"/>
    <m/>
  </r>
  <r>
    <s v="T1502"/>
    <x v="34"/>
    <x v="3"/>
    <x v="2"/>
    <s v="Desk"/>
    <x v="3"/>
    <n v="298280.95"/>
    <n v="160357.67000000001"/>
    <s v="Transfer"/>
    <s v="Corporate"/>
    <n v="137923.28"/>
    <n v="0.46239386055328036"/>
    <m/>
  </r>
  <r>
    <s v="T1503"/>
    <x v="48"/>
    <x v="0"/>
    <x v="1"/>
    <s v="Laptop"/>
    <x v="3"/>
    <n v="188122.55"/>
    <n v="128976.16"/>
    <s v="Card"/>
    <s v="Corporate"/>
    <n v="59146.389999999985"/>
    <n v="0.31440350983972942"/>
    <m/>
  </r>
  <r>
    <s v="T1504"/>
    <x v="75"/>
    <x v="0"/>
    <x v="2"/>
    <s v="Phone"/>
    <x v="1"/>
    <n v="115172.6"/>
    <n v="76478.7"/>
    <s v="Card"/>
    <s v="Retail"/>
    <n v="38693.900000000009"/>
    <n v="0.33596445682393217"/>
    <m/>
  </r>
  <r>
    <s v="T1505"/>
    <x v="147"/>
    <x v="0"/>
    <x v="1"/>
    <s v="Printer"/>
    <x v="5"/>
    <n v="369696.76"/>
    <n v="173478.46"/>
    <s v="Cash"/>
    <s v="Retail"/>
    <n v="196218.30000000002"/>
    <n v="0.53075471908382432"/>
    <m/>
  </r>
  <r>
    <s v="T1506"/>
    <x v="48"/>
    <x v="1"/>
    <x v="0"/>
    <s v="Phone"/>
    <x v="2"/>
    <n v="152916.82"/>
    <n v="69396.02"/>
    <s v="Card"/>
    <s v="Retail"/>
    <n v="83520.800000000003"/>
    <n v="0.5461845204471294"/>
    <m/>
  </r>
  <r>
    <s v="T1507"/>
    <x v="101"/>
    <x v="2"/>
    <x v="1"/>
    <s v="Desk"/>
    <x v="0"/>
    <n v="292105.19"/>
    <n v="142461.31"/>
    <s v="Transfer"/>
    <s v="Retail"/>
    <n v="149643.88"/>
    <n v="0.51229449226835033"/>
    <m/>
  </r>
  <r>
    <s v="T1508"/>
    <x v="55"/>
    <x v="3"/>
    <x v="2"/>
    <s v="Phone"/>
    <x v="5"/>
    <n v="271984.26"/>
    <n v="257917.43"/>
    <s v="Cash"/>
    <s v="Corporate"/>
    <n v="14066.830000000016"/>
    <n v="5.171927963772615E-2"/>
    <m/>
  </r>
  <r>
    <s v="T1509"/>
    <x v="26"/>
    <x v="3"/>
    <x v="2"/>
    <s v="Chair"/>
    <x v="5"/>
    <n v="499258.38"/>
    <n v="361143.87"/>
    <s v="Card"/>
    <s v="Corporate"/>
    <n v="138114.51"/>
    <n v="0.2766393425384267"/>
    <m/>
  </r>
  <r>
    <s v="T1510"/>
    <x v="154"/>
    <x v="4"/>
    <x v="2"/>
    <s v="Phone"/>
    <x v="1"/>
    <n v="389815.63"/>
    <n v="234178.29"/>
    <s v="Card"/>
    <s v="Retail"/>
    <n v="155637.34"/>
    <n v="0.39925884962591163"/>
    <m/>
  </r>
  <r>
    <s v="T1511"/>
    <x v="167"/>
    <x v="2"/>
    <x v="2"/>
    <s v="Cabinet"/>
    <x v="2"/>
    <n v="301027.06"/>
    <n v="210224.17"/>
    <s v="Transfer"/>
    <s v="Corporate"/>
    <n v="90802.889999999985"/>
    <n v="0.30164361303598414"/>
    <m/>
  </r>
  <r>
    <s v="T1512"/>
    <x v="38"/>
    <x v="2"/>
    <x v="0"/>
    <s v="Desk"/>
    <x v="0"/>
    <n v="407457.05"/>
    <n v="275060.84999999998"/>
    <s v="Transfer"/>
    <s v="Retail"/>
    <n v="132396.20000000001"/>
    <n v="0.32493289783548968"/>
    <m/>
  </r>
  <r>
    <s v="T1513"/>
    <x v="168"/>
    <x v="1"/>
    <x v="1"/>
    <s v="Printer"/>
    <x v="1"/>
    <n v="54940.84"/>
    <n v="41212.080000000002"/>
    <s v="Cash"/>
    <s v="Retail"/>
    <n v="13728.759999999995"/>
    <n v="0.24988260099408738"/>
    <m/>
  </r>
  <r>
    <s v="T1514"/>
    <x v="168"/>
    <x v="3"/>
    <x v="2"/>
    <s v="Chair"/>
    <x v="0"/>
    <n v="283295.82"/>
    <n v="266462.89"/>
    <s v="Card"/>
    <s v="Retail"/>
    <n v="16832.929999999993"/>
    <n v="5.9418208147229257E-2"/>
    <m/>
  </r>
  <r>
    <s v="T1515"/>
    <x v="167"/>
    <x v="2"/>
    <x v="0"/>
    <s v="Laptop"/>
    <x v="1"/>
    <n v="374109.04"/>
    <n v="320877.3"/>
    <s v="Transfer"/>
    <s v="Corporate"/>
    <n v="53231.739999999991"/>
    <n v="0.1422893710347122"/>
    <m/>
  </r>
  <r>
    <s v="T1516"/>
    <x v="10"/>
    <x v="0"/>
    <x v="1"/>
    <s v="Cabinet"/>
    <x v="2"/>
    <n v="230047.18"/>
    <n v="103002.46"/>
    <s v="Cash"/>
    <s v="Retail"/>
    <n v="127044.71999999999"/>
    <n v="0.55225506350479925"/>
    <m/>
  </r>
  <r>
    <s v="T1517"/>
    <x v="55"/>
    <x v="3"/>
    <x v="2"/>
    <s v="Laptop"/>
    <x v="4"/>
    <n v="428703.72"/>
    <n v="378935.38"/>
    <s v="Card"/>
    <s v="Retail"/>
    <n v="49768.339999999967"/>
    <n v="0.11609029191535816"/>
    <m/>
  </r>
  <r>
    <s v="T1518"/>
    <x v="153"/>
    <x v="0"/>
    <x v="2"/>
    <s v="Printer"/>
    <x v="4"/>
    <n v="349360.21"/>
    <n v="322849.46000000002"/>
    <s v="Cash"/>
    <s v="Corporate"/>
    <n v="26510.75"/>
    <n v="7.5883713259732699E-2"/>
    <m/>
  </r>
  <r>
    <s v="T1519"/>
    <x v="68"/>
    <x v="0"/>
    <x v="0"/>
    <s v="Phone"/>
    <x v="1"/>
    <n v="208231.15"/>
    <n v="135172.41"/>
    <s v="Transfer"/>
    <s v="Retail"/>
    <n v="73058.739999999991"/>
    <n v="0.35085403888899425"/>
    <m/>
  </r>
  <r>
    <s v="T1520"/>
    <x v="107"/>
    <x v="0"/>
    <x v="0"/>
    <s v="Phone"/>
    <x v="2"/>
    <n v="213040.52"/>
    <n v="159846.18"/>
    <s v="Cash"/>
    <s v="Retail"/>
    <n v="53194.34"/>
    <n v="0.24969118550780856"/>
    <m/>
  </r>
  <r>
    <s v="T1521"/>
    <x v="153"/>
    <x v="4"/>
    <x v="2"/>
    <s v="Desk"/>
    <x v="4"/>
    <n v="310147.15000000002"/>
    <n v="188530.76"/>
    <s v="Transfer"/>
    <s v="Retail"/>
    <n v="121616.39000000001"/>
    <n v="0.39212480269446293"/>
    <m/>
  </r>
  <r>
    <s v="T1522"/>
    <x v="56"/>
    <x v="0"/>
    <x v="0"/>
    <s v="Phone"/>
    <x v="0"/>
    <n v="184739.6"/>
    <n v="157517.57999999999"/>
    <s v="Card"/>
    <s v="Corporate"/>
    <n v="27222.020000000019"/>
    <n v="0.14735346401096472"/>
    <m/>
  </r>
  <r>
    <s v="T1523"/>
    <x v="41"/>
    <x v="0"/>
    <x v="2"/>
    <s v="Chair"/>
    <x v="0"/>
    <n v="230770.56"/>
    <n v="109831.06"/>
    <s v="Transfer"/>
    <s v="Retail"/>
    <n v="120939.5"/>
    <n v="0.52406814803413404"/>
    <m/>
  </r>
  <r>
    <s v="T1524"/>
    <x v="111"/>
    <x v="0"/>
    <x v="2"/>
    <s v="Cabinet"/>
    <x v="2"/>
    <n v="248966.26"/>
    <n v="194233.86"/>
    <s v="Cash"/>
    <s v="Corporate"/>
    <n v="54732.400000000023"/>
    <n v="0.21983862391634923"/>
    <m/>
  </r>
  <r>
    <s v="T1525"/>
    <x v="169"/>
    <x v="4"/>
    <x v="0"/>
    <s v="Printer"/>
    <x v="1"/>
    <n v="90782.76"/>
    <n v="58020.13"/>
    <s v="Card"/>
    <s v="Corporate"/>
    <n v="32762.629999999997"/>
    <n v="0.36089043778796764"/>
    <m/>
  </r>
  <r>
    <s v="T1526"/>
    <x v="65"/>
    <x v="0"/>
    <x v="1"/>
    <s v="Printer"/>
    <x v="0"/>
    <n v="228447.8"/>
    <n v="154715.51"/>
    <s v="Transfer"/>
    <s v="Corporate"/>
    <n v="73732.289999999979"/>
    <n v="0.32275333796166994"/>
    <m/>
  </r>
  <r>
    <s v="T1527"/>
    <x v="16"/>
    <x v="1"/>
    <x v="1"/>
    <s v="Printer"/>
    <x v="3"/>
    <n v="72536.52"/>
    <n v="48288.1"/>
    <s v="Transfer"/>
    <s v="Corporate"/>
    <n v="24248.420000000006"/>
    <n v="0.33429257427844628"/>
    <m/>
  </r>
  <r>
    <s v="T1528"/>
    <x v="18"/>
    <x v="0"/>
    <x v="1"/>
    <s v="Chair"/>
    <x v="1"/>
    <n v="467898.02"/>
    <n v="303806.94"/>
    <s v="Card"/>
    <s v="Corporate"/>
    <n v="164091.08000000002"/>
    <n v="0.35069838508827206"/>
    <m/>
  </r>
  <r>
    <s v="T1529"/>
    <x v="19"/>
    <x v="0"/>
    <x v="0"/>
    <s v="Chair"/>
    <x v="1"/>
    <n v="169192.28"/>
    <n v="145550.54"/>
    <s v="Card"/>
    <s v="Corporate"/>
    <n v="23641.739999999991"/>
    <n v="0.13973297126795614"/>
    <m/>
  </r>
  <r>
    <s v="T1530"/>
    <x v="104"/>
    <x v="3"/>
    <x v="2"/>
    <s v="Printer"/>
    <x v="2"/>
    <n v="227285.02"/>
    <n v="172823.74"/>
    <s v="Card"/>
    <s v="Corporate"/>
    <n v="54461.279999999999"/>
    <n v="0.23961667161346578"/>
    <m/>
  </r>
  <r>
    <s v="T1531"/>
    <x v="82"/>
    <x v="1"/>
    <x v="1"/>
    <s v="Printer"/>
    <x v="4"/>
    <n v="128468.88"/>
    <n v="120096.82"/>
    <s v="Cash"/>
    <s v="Retail"/>
    <n v="8372.0599999999977"/>
    <n v="6.5168000219197039E-2"/>
    <m/>
  </r>
  <r>
    <s v="T1532"/>
    <x v="119"/>
    <x v="3"/>
    <x v="1"/>
    <s v="Desk"/>
    <x v="2"/>
    <n v="387759.27"/>
    <n v="296328.90000000002"/>
    <s v="Cash"/>
    <s v="Retail"/>
    <n v="91430.37"/>
    <n v="0.23579157759400565"/>
    <m/>
  </r>
  <r>
    <s v="T1533"/>
    <x v="104"/>
    <x v="2"/>
    <x v="2"/>
    <s v="Chair"/>
    <x v="3"/>
    <n v="259229.44"/>
    <n v="107842.61"/>
    <s v="Transfer"/>
    <s v="Retail"/>
    <n v="151386.83000000002"/>
    <n v="0.58398779860805938"/>
    <m/>
  </r>
  <r>
    <s v="T1534"/>
    <x v="164"/>
    <x v="0"/>
    <x v="0"/>
    <s v="Desk"/>
    <x v="0"/>
    <n v="120889.1"/>
    <n v="49208.31"/>
    <s v="Card"/>
    <s v="Retail"/>
    <n v="71680.790000000008"/>
    <n v="0.59294667592032702"/>
    <m/>
  </r>
  <r>
    <s v="T1535"/>
    <x v="7"/>
    <x v="2"/>
    <x v="0"/>
    <s v="Cabinet"/>
    <x v="2"/>
    <n v="232457.01"/>
    <n v="93014.34"/>
    <s v="Card"/>
    <s v="Corporate"/>
    <n v="139442.67000000001"/>
    <n v="0.59986433620564938"/>
    <m/>
  </r>
  <r>
    <s v="T1536"/>
    <x v="30"/>
    <x v="0"/>
    <x v="2"/>
    <s v="Phone"/>
    <x v="5"/>
    <n v="262718.17"/>
    <n v="185188.3"/>
    <s v="Cash"/>
    <s v="Corporate"/>
    <n v="77529.87"/>
    <n v="0.29510661557972939"/>
    <m/>
  </r>
  <r>
    <s v="T1537"/>
    <x v="138"/>
    <x v="3"/>
    <x v="0"/>
    <s v="Laptop"/>
    <x v="2"/>
    <n v="167755.29999999999"/>
    <n v="124635.26"/>
    <s v="Transfer"/>
    <s v="Corporate"/>
    <n v="43120.039999999994"/>
    <n v="0.25704129765199668"/>
    <m/>
  </r>
  <r>
    <s v="T1538"/>
    <x v="34"/>
    <x v="2"/>
    <x v="2"/>
    <s v="Printer"/>
    <x v="1"/>
    <n v="436851.91"/>
    <n v="275634.11"/>
    <s v="Card"/>
    <s v="Retail"/>
    <n v="161217.79999999999"/>
    <n v="0.36904451213226924"/>
    <m/>
  </r>
  <r>
    <s v="T1539"/>
    <x v="139"/>
    <x v="4"/>
    <x v="1"/>
    <s v="Printer"/>
    <x v="5"/>
    <n v="246674.19"/>
    <n v="162152.32999999999"/>
    <s v="Card"/>
    <s v="Corporate"/>
    <n v="84521.860000000015"/>
    <n v="0.34264573849416519"/>
    <m/>
  </r>
  <r>
    <s v="T1540"/>
    <x v="170"/>
    <x v="0"/>
    <x v="0"/>
    <s v="Chair"/>
    <x v="5"/>
    <n v="89176.6"/>
    <n v="67106.13"/>
    <s v="Card"/>
    <s v="Retail"/>
    <n v="22070.47"/>
    <n v="0.2474917186795639"/>
    <m/>
  </r>
  <r>
    <s v="T1541"/>
    <x v="89"/>
    <x v="2"/>
    <x v="2"/>
    <s v="Printer"/>
    <x v="3"/>
    <n v="328331.25"/>
    <n v="166026.63"/>
    <s v="Card"/>
    <s v="Retail"/>
    <n v="162304.62"/>
    <n v="0.49433192850208441"/>
    <m/>
  </r>
  <r>
    <s v="T1542"/>
    <x v="120"/>
    <x v="2"/>
    <x v="2"/>
    <s v="Laptop"/>
    <x v="3"/>
    <n v="248354.5"/>
    <n v="172471.1"/>
    <s v="Cash"/>
    <s v="Retail"/>
    <n v="75883.399999999994"/>
    <n v="0.30554469518369909"/>
    <m/>
  </r>
  <r>
    <s v="T1543"/>
    <x v="165"/>
    <x v="2"/>
    <x v="2"/>
    <s v="Laptop"/>
    <x v="0"/>
    <n v="373776.87"/>
    <n v="273429.32"/>
    <s v="Cash"/>
    <s v="Corporate"/>
    <n v="100347.54999999999"/>
    <n v="0.26846912704897974"/>
    <m/>
  </r>
  <r>
    <s v="T1544"/>
    <x v="118"/>
    <x v="0"/>
    <x v="0"/>
    <s v="Desk"/>
    <x v="2"/>
    <n v="474057.51"/>
    <n v="254838.05"/>
    <s v="Transfer"/>
    <s v="Retail"/>
    <n v="219219.46000000002"/>
    <n v="0.46243220574651378"/>
    <m/>
  </r>
  <r>
    <s v="T1545"/>
    <x v="116"/>
    <x v="0"/>
    <x v="1"/>
    <s v="Cabinet"/>
    <x v="4"/>
    <n v="73350.84"/>
    <n v="39683.370000000003"/>
    <s v="Card"/>
    <s v="Corporate"/>
    <n v="33667.469999999994"/>
    <n v="0.45899228965885047"/>
    <m/>
  </r>
  <r>
    <s v="T1546"/>
    <x v="126"/>
    <x v="3"/>
    <x v="0"/>
    <s v="Cabinet"/>
    <x v="5"/>
    <n v="430853.46"/>
    <n v="346212.81"/>
    <s v="Transfer"/>
    <s v="Retail"/>
    <n v="84640.650000000023"/>
    <n v="0.19644881115727844"/>
    <m/>
  </r>
  <r>
    <s v="T1547"/>
    <x v="121"/>
    <x v="0"/>
    <x v="2"/>
    <s v="Desk"/>
    <x v="1"/>
    <n v="102583.06"/>
    <n v="97213.79"/>
    <s v="Card"/>
    <s v="Corporate"/>
    <n v="5369.2700000000041"/>
    <n v="5.2340708105217411E-2"/>
    <m/>
  </r>
  <r>
    <s v="T1548"/>
    <x v="157"/>
    <x v="4"/>
    <x v="0"/>
    <s v="Cabinet"/>
    <x v="3"/>
    <n v="353070.11"/>
    <n v="197338.14"/>
    <s v="Card"/>
    <s v="Corporate"/>
    <n v="155731.96999999997"/>
    <n v="0.44107945019758249"/>
    <m/>
  </r>
  <r>
    <s v="T1549"/>
    <x v="119"/>
    <x v="1"/>
    <x v="0"/>
    <s v="Printer"/>
    <x v="0"/>
    <n v="355965.4"/>
    <n v="273517.58"/>
    <s v="Transfer"/>
    <s v="Retail"/>
    <n v="82447.820000000007"/>
    <n v="0.23161751114012766"/>
    <m/>
  </r>
  <r>
    <s v="T1550"/>
    <x v="58"/>
    <x v="0"/>
    <x v="2"/>
    <s v="Printer"/>
    <x v="3"/>
    <n v="437035.04"/>
    <n v="237380.25"/>
    <s v="Card"/>
    <s v="Corporate"/>
    <n v="199654.78999999998"/>
    <n v="0.45683931887932827"/>
    <m/>
  </r>
  <r>
    <s v="T1551"/>
    <x v="153"/>
    <x v="4"/>
    <x v="1"/>
    <s v="Desk"/>
    <x v="4"/>
    <n v="211222.69"/>
    <n v="102408.03"/>
    <s v="Cash"/>
    <s v="Corporate"/>
    <n v="108814.66"/>
    <n v="0.51516558187948469"/>
    <m/>
  </r>
  <r>
    <s v="T1552"/>
    <x v="48"/>
    <x v="0"/>
    <x v="1"/>
    <s v="Phone"/>
    <x v="5"/>
    <n v="493071.29"/>
    <n v="213140.31"/>
    <s v="Transfer"/>
    <s v="Corporate"/>
    <n v="279930.98"/>
    <n v="0.56772922227939893"/>
    <m/>
  </r>
  <r>
    <s v="T1553"/>
    <x v="29"/>
    <x v="1"/>
    <x v="2"/>
    <s v="Desk"/>
    <x v="3"/>
    <n v="120931.99"/>
    <n v="54118.85"/>
    <s v="Transfer"/>
    <s v="Retail"/>
    <n v="66813.140000000014"/>
    <n v="0.55248524397886789"/>
    <m/>
  </r>
  <r>
    <s v="T1554"/>
    <x v="56"/>
    <x v="0"/>
    <x v="1"/>
    <s v="Chair"/>
    <x v="4"/>
    <n v="191736.23"/>
    <n v="121156.48"/>
    <s v="Card"/>
    <s v="Retail"/>
    <n v="70579.750000000015"/>
    <n v="0.36810857290768684"/>
    <m/>
  </r>
  <r>
    <s v="T1555"/>
    <x v="102"/>
    <x v="3"/>
    <x v="1"/>
    <s v="Desk"/>
    <x v="2"/>
    <n v="325092"/>
    <n v="279778.68"/>
    <s v="Card"/>
    <s v="Retail"/>
    <n v="45313.320000000007"/>
    <n v="0.13938614299952015"/>
    <m/>
  </r>
  <r>
    <s v="T1556"/>
    <x v="44"/>
    <x v="0"/>
    <x v="2"/>
    <s v="Phone"/>
    <x v="5"/>
    <n v="51061.67"/>
    <n v="23144.59"/>
    <s v="Cash"/>
    <s v="Corporate"/>
    <n v="27917.079999999998"/>
    <n v="0.54673260784459266"/>
    <m/>
  </r>
  <r>
    <s v="T1557"/>
    <x v="72"/>
    <x v="2"/>
    <x v="2"/>
    <s v="Chair"/>
    <x v="0"/>
    <n v="468673.15"/>
    <n v="246107.33"/>
    <s v="Transfer"/>
    <s v="Corporate"/>
    <n v="222565.82000000004"/>
    <n v="0.47488493846937896"/>
    <m/>
  </r>
  <r>
    <s v="T1558"/>
    <x v="100"/>
    <x v="4"/>
    <x v="0"/>
    <s v="Phone"/>
    <x v="1"/>
    <n v="163982.21"/>
    <n v="69528.95"/>
    <s v="Card"/>
    <s v="Retail"/>
    <n v="94453.26"/>
    <n v="0.57599699382024427"/>
    <m/>
  </r>
  <r>
    <s v="T1559"/>
    <x v="104"/>
    <x v="0"/>
    <x v="2"/>
    <s v="Printer"/>
    <x v="4"/>
    <n v="172330.04"/>
    <n v="121059.45"/>
    <s v="Cash"/>
    <s v="Corporate"/>
    <n v="51270.590000000011"/>
    <n v="0.29751394475391529"/>
    <m/>
  </r>
  <r>
    <s v="T1560"/>
    <x v="165"/>
    <x v="0"/>
    <x v="2"/>
    <s v="Cabinet"/>
    <x v="2"/>
    <n v="241486.85"/>
    <n v="222410.72"/>
    <s v="Cash"/>
    <s v="Retail"/>
    <n v="19076.130000000005"/>
    <n v="7.8994487691565834E-2"/>
    <m/>
  </r>
  <r>
    <s v="T1561"/>
    <x v="95"/>
    <x v="2"/>
    <x v="1"/>
    <s v="Laptop"/>
    <x v="3"/>
    <n v="154720.54"/>
    <n v="139723.79"/>
    <s v="Cash"/>
    <s v="Retail"/>
    <n v="14996.75"/>
    <n v="9.6927983834596235E-2"/>
    <m/>
  </r>
  <r>
    <s v="T1562"/>
    <x v="64"/>
    <x v="2"/>
    <x v="2"/>
    <s v="Cabinet"/>
    <x v="0"/>
    <n v="269632.81"/>
    <n v="127722.29"/>
    <s v="Transfer"/>
    <s v="Retail"/>
    <n v="141910.52000000002"/>
    <n v="0.52631028100771571"/>
    <m/>
  </r>
  <r>
    <s v="T1563"/>
    <x v="8"/>
    <x v="0"/>
    <x v="1"/>
    <s v="Chair"/>
    <x v="2"/>
    <n v="228722.05"/>
    <n v="138057.37"/>
    <s v="Cash"/>
    <s v="Retail"/>
    <n v="90664.68"/>
    <n v="0.3963967619212927"/>
    <m/>
  </r>
  <r>
    <s v="T1564"/>
    <x v="158"/>
    <x v="1"/>
    <x v="0"/>
    <s v="Laptop"/>
    <x v="0"/>
    <n v="263899.53999999998"/>
    <n v="229682.54"/>
    <s v="Transfer"/>
    <s v="Corporate"/>
    <n v="34216.999999999971"/>
    <n v="0.1296591877348478"/>
    <m/>
  </r>
  <r>
    <s v="T1565"/>
    <x v="77"/>
    <x v="0"/>
    <x v="0"/>
    <s v="Desk"/>
    <x v="0"/>
    <n v="193492.79"/>
    <n v="92830.65"/>
    <s v="Card"/>
    <s v="Retail"/>
    <n v="100662.14000000001"/>
    <n v="0.52023716232527328"/>
    <m/>
  </r>
  <r>
    <s v="T1566"/>
    <x v="163"/>
    <x v="2"/>
    <x v="1"/>
    <s v="Laptop"/>
    <x v="1"/>
    <n v="59507.15"/>
    <n v="29828.95"/>
    <s v="Cash"/>
    <s v="Retail"/>
    <n v="29678.2"/>
    <n v="0.49873334548873538"/>
    <m/>
  </r>
  <r>
    <s v="T1567"/>
    <x v="35"/>
    <x v="3"/>
    <x v="2"/>
    <s v="Chair"/>
    <x v="3"/>
    <n v="389400.05"/>
    <n v="317275.62"/>
    <s v="Card"/>
    <s v="Retail"/>
    <n v="72124.429999999993"/>
    <n v="0.18521936502062594"/>
    <m/>
  </r>
  <r>
    <s v="T1568"/>
    <x v="61"/>
    <x v="4"/>
    <x v="1"/>
    <s v="Chair"/>
    <x v="0"/>
    <n v="116589.27"/>
    <n v="46885.98"/>
    <s v="Transfer"/>
    <s v="Corporate"/>
    <n v="69703.290000000008"/>
    <n v="0.59785338736574989"/>
    <m/>
  </r>
  <r>
    <s v="T1569"/>
    <x v="115"/>
    <x v="4"/>
    <x v="2"/>
    <s v="Laptop"/>
    <x v="3"/>
    <n v="106402.01"/>
    <n v="100514.35"/>
    <s v="Cash"/>
    <s v="Corporate"/>
    <n v="5887.6599999999889"/>
    <n v="5.5334105060609186E-2"/>
    <m/>
  </r>
  <r>
    <s v="T1570"/>
    <x v="71"/>
    <x v="1"/>
    <x v="2"/>
    <s v="Chair"/>
    <x v="1"/>
    <n v="188738.4"/>
    <n v="94639.46"/>
    <s v="Cash"/>
    <s v="Retail"/>
    <n v="94098.939999999988"/>
    <n v="0.49856807093839933"/>
    <m/>
  </r>
  <r>
    <s v="T1571"/>
    <x v="42"/>
    <x v="0"/>
    <x v="1"/>
    <s v="Printer"/>
    <x v="2"/>
    <n v="388102.14"/>
    <n v="268211.03000000003"/>
    <s v="Transfer"/>
    <s v="Corporate"/>
    <n v="119891.10999999999"/>
    <n v="0.3089163847434595"/>
    <m/>
  </r>
  <r>
    <s v="T1572"/>
    <x v="156"/>
    <x v="4"/>
    <x v="1"/>
    <s v="Desk"/>
    <x v="1"/>
    <n v="414119.33"/>
    <n v="174344.62"/>
    <s v="Cash"/>
    <s v="Retail"/>
    <n v="239774.71000000002"/>
    <n v="0.57899907739153356"/>
    <m/>
  </r>
  <r>
    <s v="T1573"/>
    <x v="145"/>
    <x v="0"/>
    <x v="2"/>
    <s v="Phone"/>
    <x v="2"/>
    <n v="88323.15"/>
    <n v="54043.62"/>
    <s v="Cash"/>
    <s v="Corporate"/>
    <n v="34279.529999999992"/>
    <n v="0.38811489400004406"/>
    <m/>
  </r>
  <r>
    <s v="T1574"/>
    <x v="122"/>
    <x v="3"/>
    <x v="2"/>
    <s v="Laptop"/>
    <x v="0"/>
    <n v="293927.52"/>
    <n v="164832.57999999999"/>
    <s v="Card"/>
    <s v="Retail"/>
    <n v="129094.94000000003"/>
    <n v="0.43920671327407529"/>
    <m/>
  </r>
  <r>
    <s v="T1575"/>
    <x v="71"/>
    <x v="0"/>
    <x v="2"/>
    <s v="Cabinet"/>
    <x v="4"/>
    <n v="180017.99"/>
    <n v="118817.3"/>
    <s v="Cash"/>
    <s v="Retail"/>
    <n v="61200.689999999988"/>
    <n v="0.33996985523502399"/>
    <m/>
  </r>
  <r>
    <s v="T1576"/>
    <x v="52"/>
    <x v="0"/>
    <x v="2"/>
    <s v="Chair"/>
    <x v="2"/>
    <n v="310631.51"/>
    <n v="204628.32"/>
    <s v="Transfer"/>
    <s v="Corporate"/>
    <n v="106003.19"/>
    <n v="0.34125060268354618"/>
    <m/>
  </r>
  <r>
    <s v="T1577"/>
    <x v="76"/>
    <x v="4"/>
    <x v="1"/>
    <s v="Printer"/>
    <x v="0"/>
    <n v="222447.68"/>
    <n v="139416.39000000001"/>
    <s v="Transfer"/>
    <s v="Retail"/>
    <n v="83031.289999999979"/>
    <n v="0.37326210819550909"/>
    <m/>
  </r>
  <r>
    <s v="T1578"/>
    <x v="79"/>
    <x v="0"/>
    <x v="2"/>
    <s v="Printer"/>
    <x v="0"/>
    <n v="253446.01"/>
    <n v="183433.74"/>
    <s v="Transfer"/>
    <s v="Retail"/>
    <n v="70012.270000000019"/>
    <n v="0.27624135807069922"/>
    <m/>
  </r>
  <r>
    <s v="T1579"/>
    <x v="138"/>
    <x v="0"/>
    <x v="1"/>
    <s v="Laptop"/>
    <x v="3"/>
    <n v="234995.14"/>
    <n v="203224.44"/>
    <s v="Card"/>
    <s v="Corporate"/>
    <n v="31770.700000000012"/>
    <n v="0.1351972640795891"/>
    <m/>
  </r>
  <r>
    <s v="T1580"/>
    <x v="19"/>
    <x v="0"/>
    <x v="0"/>
    <s v="Desk"/>
    <x v="2"/>
    <n v="121961.78"/>
    <n v="91345.02"/>
    <s v="Transfer"/>
    <s v="Retail"/>
    <n v="30616.759999999995"/>
    <n v="0.25103569331310183"/>
    <m/>
  </r>
  <r>
    <s v="T1581"/>
    <x v="171"/>
    <x v="4"/>
    <x v="2"/>
    <s v="Printer"/>
    <x v="3"/>
    <n v="360686.66"/>
    <n v="158978.9"/>
    <s v="Cash"/>
    <s v="Retail"/>
    <n v="201707.75999999998"/>
    <n v="0.55923265917292309"/>
    <m/>
  </r>
  <r>
    <s v="T1582"/>
    <x v="47"/>
    <x v="4"/>
    <x v="0"/>
    <s v="Desk"/>
    <x v="3"/>
    <n v="170862.89"/>
    <n v="161064.72"/>
    <s v="Transfer"/>
    <s v="Retail"/>
    <n v="9798.1700000000128"/>
    <n v="5.7345219901173458E-2"/>
    <m/>
  </r>
  <r>
    <s v="T1583"/>
    <x v="51"/>
    <x v="2"/>
    <x v="0"/>
    <s v="Printer"/>
    <x v="2"/>
    <n v="224236.26"/>
    <n v="196437.33"/>
    <s v="Cash"/>
    <s v="Retail"/>
    <n v="27798.930000000022"/>
    <n v="0.12397160923037166"/>
    <m/>
  </r>
  <r>
    <s v="T1584"/>
    <x v="162"/>
    <x v="0"/>
    <x v="0"/>
    <s v="Phone"/>
    <x v="4"/>
    <n v="278085.61"/>
    <n v="147272.95000000001"/>
    <s v="Transfer"/>
    <s v="Corporate"/>
    <n v="130812.65999999997"/>
    <n v="0.47040427586310551"/>
    <m/>
  </r>
  <r>
    <s v="T1585"/>
    <x v="154"/>
    <x v="2"/>
    <x v="1"/>
    <s v="Phone"/>
    <x v="2"/>
    <n v="374187.94"/>
    <n v="334119.61"/>
    <s v="Transfer"/>
    <s v="Retail"/>
    <n v="40068.330000000016"/>
    <n v="0.10708076267770687"/>
    <m/>
  </r>
  <r>
    <s v="T1586"/>
    <x v="172"/>
    <x v="1"/>
    <x v="2"/>
    <s v="Laptop"/>
    <x v="1"/>
    <n v="137896.46"/>
    <n v="115512.1"/>
    <s v="Transfer"/>
    <s v="Retail"/>
    <n v="22384.359999999986"/>
    <n v="0.16232729977259741"/>
    <m/>
  </r>
  <r>
    <s v="T1587"/>
    <x v="89"/>
    <x v="1"/>
    <x v="1"/>
    <s v="Printer"/>
    <x v="2"/>
    <n v="65523.34"/>
    <n v="34254.9"/>
    <s v="Cash"/>
    <s v="Retail"/>
    <n v="31268.439999999995"/>
    <n v="0.47721071605934612"/>
    <m/>
  </r>
  <r>
    <s v="T1588"/>
    <x v="20"/>
    <x v="1"/>
    <x v="2"/>
    <s v="Desk"/>
    <x v="1"/>
    <n v="463458.88"/>
    <n v="275935.83"/>
    <s v="Card"/>
    <s v="Retail"/>
    <n v="187523.05"/>
    <n v="0.40461637071232726"/>
    <m/>
  </r>
  <r>
    <s v="T1589"/>
    <x v="133"/>
    <x v="1"/>
    <x v="2"/>
    <s v="Laptop"/>
    <x v="3"/>
    <n v="316143.84000000003"/>
    <n v="171610.7"/>
    <s v="Cash"/>
    <s v="Retail"/>
    <n v="144533.14000000001"/>
    <n v="0.45717525288488936"/>
    <m/>
  </r>
  <r>
    <s v="T1590"/>
    <x v="166"/>
    <x v="3"/>
    <x v="1"/>
    <s v="Chair"/>
    <x v="4"/>
    <n v="423653.56"/>
    <n v="300558.25"/>
    <s v="Card"/>
    <s v="Retail"/>
    <n v="123095.31"/>
    <n v="0.2905565339755436"/>
    <m/>
  </r>
  <r>
    <s v="T1591"/>
    <x v="46"/>
    <x v="3"/>
    <x v="2"/>
    <s v="Printer"/>
    <x v="4"/>
    <n v="163784.54999999999"/>
    <n v="147421.26999999999"/>
    <s v="Transfer"/>
    <s v="Corporate"/>
    <n v="16363.279999999999"/>
    <n v="9.9907347793183179E-2"/>
    <m/>
  </r>
  <r>
    <s v="T1592"/>
    <x v="83"/>
    <x v="3"/>
    <x v="2"/>
    <s v="Chair"/>
    <x v="0"/>
    <n v="300124.87"/>
    <n v="207965.11"/>
    <s v="Cash"/>
    <s v="Retail"/>
    <n v="92159.760000000009"/>
    <n v="0.30707138665316208"/>
    <m/>
  </r>
  <r>
    <s v="T1593"/>
    <x v="15"/>
    <x v="4"/>
    <x v="0"/>
    <s v="Laptop"/>
    <x v="1"/>
    <n v="402281.37"/>
    <n v="351441.91"/>
    <s v="Cash"/>
    <s v="Corporate"/>
    <n v="50839.460000000021"/>
    <n v="0.12637786333480971"/>
    <m/>
  </r>
  <r>
    <s v="T1594"/>
    <x v="48"/>
    <x v="3"/>
    <x v="0"/>
    <s v="Laptop"/>
    <x v="1"/>
    <n v="70058.94"/>
    <n v="37722.57"/>
    <s v="Card"/>
    <s v="Corporate"/>
    <n v="32336.370000000003"/>
    <n v="0.46155950974993343"/>
    <m/>
  </r>
  <r>
    <s v="T1595"/>
    <x v="125"/>
    <x v="1"/>
    <x v="0"/>
    <s v="Cabinet"/>
    <x v="1"/>
    <n v="390896.5"/>
    <n v="173842.08"/>
    <s v="Card"/>
    <s v="Retail"/>
    <n v="217054.42"/>
    <n v="0.55527337799136089"/>
    <m/>
  </r>
  <r>
    <s v="T1596"/>
    <x v="58"/>
    <x v="0"/>
    <x v="2"/>
    <s v="Printer"/>
    <x v="4"/>
    <n v="288979.93"/>
    <n v="235685.55"/>
    <s v="Cash"/>
    <s v="Corporate"/>
    <n v="53294.380000000005"/>
    <n v="0.18442242684466012"/>
    <m/>
  </r>
  <r>
    <s v="T1597"/>
    <x v="140"/>
    <x v="4"/>
    <x v="1"/>
    <s v="Cabinet"/>
    <x v="3"/>
    <n v="357599.63"/>
    <n v="329000.03999999998"/>
    <s v="Card"/>
    <s v="Corporate"/>
    <n v="28599.590000000026"/>
    <n v="7.9976564852709792E-2"/>
    <m/>
  </r>
  <r>
    <s v="T1598"/>
    <x v="135"/>
    <x v="0"/>
    <x v="1"/>
    <s v="Chair"/>
    <x v="0"/>
    <n v="170574.77"/>
    <n v="147808.45000000001"/>
    <s v="Transfer"/>
    <s v="Retail"/>
    <n v="22766.319999999978"/>
    <n v="0.13346827318014251"/>
    <m/>
  </r>
  <r>
    <s v="T1599"/>
    <x v="48"/>
    <x v="1"/>
    <x v="0"/>
    <s v="Desk"/>
    <x v="1"/>
    <n v="51339.54"/>
    <n v="26796.46"/>
    <s v="Card"/>
    <s v="Corporate"/>
    <n v="24543.08"/>
    <n v="0.47805414695963389"/>
    <m/>
  </r>
  <r>
    <s v="T1600"/>
    <x v="87"/>
    <x v="0"/>
    <x v="0"/>
    <s v="Cabinet"/>
    <x v="0"/>
    <n v="482176.54"/>
    <n v="226764.48"/>
    <s v="Card"/>
    <s v="Retail"/>
    <n v="255412.05999999997"/>
    <n v="0.529706526161559"/>
    <m/>
  </r>
  <r>
    <s v="T1601"/>
    <x v="124"/>
    <x v="0"/>
    <x v="2"/>
    <s v="Desk"/>
    <x v="3"/>
    <n v="318046.86"/>
    <n v="200005.38"/>
    <s v="Card"/>
    <s v="Corporate"/>
    <n v="118041.47999999998"/>
    <n v="0.37114493128465403"/>
    <m/>
  </r>
  <r>
    <s v="T1602"/>
    <x v="15"/>
    <x v="0"/>
    <x v="0"/>
    <s v="Cabinet"/>
    <x v="1"/>
    <n v="274951.5"/>
    <n v="157900.79999999999"/>
    <s v="Transfer"/>
    <s v="Corporate"/>
    <n v="117050.70000000001"/>
    <n v="0.42571398955815848"/>
    <m/>
  </r>
  <r>
    <s v="T1603"/>
    <x v="22"/>
    <x v="0"/>
    <x v="0"/>
    <s v="Desk"/>
    <x v="0"/>
    <n v="216028.83"/>
    <n v="147399.79"/>
    <s v="Card"/>
    <s v="Retail"/>
    <n v="68629.039999999979"/>
    <n v="0.3176846349628426"/>
    <m/>
  </r>
  <r>
    <s v="T1604"/>
    <x v="136"/>
    <x v="0"/>
    <x v="2"/>
    <s v="Printer"/>
    <x v="5"/>
    <n v="215078.49"/>
    <n v="160924.03"/>
    <s v="Cash"/>
    <s v="Corporate"/>
    <n v="54154.459999999992"/>
    <n v="0.2517892886452755"/>
    <m/>
  </r>
  <r>
    <s v="T1605"/>
    <x v="42"/>
    <x v="2"/>
    <x v="0"/>
    <s v="Chair"/>
    <x v="4"/>
    <n v="103507.12"/>
    <n v="74143.11"/>
    <s v="Cash"/>
    <s v="Retail"/>
    <n v="29364.009999999995"/>
    <n v="0.28369072581673604"/>
    <m/>
  </r>
  <r>
    <s v="T1606"/>
    <x v="25"/>
    <x v="0"/>
    <x v="0"/>
    <s v="Desk"/>
    <x v="1"/>
    <n v="490975.93"/>
    <n v="228426.86"/>
    <s v="Cash"/>
    <s v="Retail"/>
    <n v="262549.07"/>
    <n v="0.53474937152214364"/>
    <m/>
  </r>
  <r>
    <s v="T1607"/>
    <x v="76"/>
    <x v="0"/>
    <x v="1"/>
    <s v="Phone"/>
    <x v="3"/>
    <n v="207000.94"/>
    <n v="174003.03"/>
    <s v="Card"/>
    <s v="Retail"/>
    <n v="32997.910000000003"/>
    <n v="0.15940946934830347"/>
    <m/>
  </r>
  <r>
    <s v="T1608"/>
    <x v="129"/>
    <x v="1"/>
    <x v="1"/>
    <s v="Chair"/>
    <x v="2"/>
    <n v="420566.05"/>
    <n v="208585.05"/>
    <s v="Cash"/>
    <s v="Retail"/>
    <n v="211981"/>
    <n v="0.50403735632013091"/>
    <m/>
  </r>
  <r>
    <s v="T1609"/>
    <x v="31"/>
    <x v="0"/>
    <x v="2"/>
    <s v="Phone"/>
    <x v="3"/>
    <n v="351097.93"/>
    <n v="315951.11"/>
    <s v="Card"/>
    <s v="Retail"/>
    <n v="35146.820000000007"/>
    <n v="0.10010546060468088"/>
    <m/>
  </r>
  <r>
    <s v="T1610"/>
    <x v="164"/>
    <x v="4"/>
    <x v="2"/>
    <s v="Desk"/>
    <x v="2"/>
    <n v="424384.67"/>
    <n v="329245.43"/>
    <s v="Cash"/>
    <s v="Corporate"/>
    <n v="95139.239999999991"/>
    <n v="0.2241816133462125"/>
    <m/>
  </r>
  <r>
    <s v="T1611"/>
    <x v="41"/>
    <x v="4"/>
    <x v="2"/>
    <s v="Cabinet"/>
    <x v="5"/>
    <n v="420240.34"/>
    <n v="191486.46"/>
    <s v="Transfer"/>
    <s v="Retail"/>
    <n v="228753.88000000003"/>
    <n v="0.54434060280838348"/>
    <m/>
  </r>
  <r>
    <s v="T1612"/>
    <x v="88"/>
    <x v="1"/>
    <x v="0"/>
    <s v="Printer"/>
    <x v="4"/>
    <n v="92841.25"/>
    <n v="61419.07"/>
    <s v="Cash"/>
    <s v="Retail"/>
    <n v="31422.18"/>
    <n v="0.33845063482019039"/>
    <m/>
  </r>
  <r>
    <s v="T1613"/>
    <x v="2"/>
    <x v="0"/>
    <x v="0"/>
    <s v="Desk"/>
    <x v="5"/>
    <n v="69421.8"/>
    <n v="38965.550000000003"/>
    <s v="Card"/>
    <s v="Retail"/>
    <n v="30456.25"/>
    <n v="0.43871305555315476"/>
    <m/>
  </r>
  <r>
    <s v="T1614"/>
    <x v="118"/>
    <x v="1"/>
    <x v="0"/>
    <s v="Chair"/>
    <x v="3"/>
    <n v="398548.66"/>
    <n v="167861.7"/>
    <s v="Cash"/>
    <s v="Retail"/>
    <n v="230686.95999999996"/>
    <n v="0.57881755266722001"/>
    <m/>
  </r>
  <r>
    <s v="T1615"/>
    <x v="12"/>
    <x v="0"/>
    <x v="1"/>
    <s v="Laptop"/>
    <x v="1"/>
    <n v="239658.38"/>
    <n v="122013.54"/>
    <s v="Transfer"/>
    <s v="Corporate"/>
    <n v="117644.84000000001"/>
    <n v="0.49088556803229666"/>
    <m/>
  </r>
  <r>
    <s v="T1616"/>
    <x v="88"/>
    <x v="0"/>
    <x v="2"/>
    <s v="Chair"/>
    <x v="1"/>
    <n v="379454.85"/>
    <n v="324819.09000000003"/>
    <s v="Card"/>
    <s v="Corporate"/>
    <n v="54635.759999999951"/>
    <n v="0.14398487725219469"/>
    <m/>
  </r>
  <r>
    <s v="T1617"/>
    <x v="64"/>
    <x v="1"/>
    <x v="2"/>
    <s v="Phone"/>
    <x v="1"/>
    <n v="356469.35"/>
    <n v="239356.09"/>
    <s v="Card"/>
    <s v="Corporate"/>
    <n v="117113.25999999998"/>
    <n v="0.32853668905896116"/>
    <m/>
  </r>
  <r>
    <s v="T1618"/>
    <x v="138"/>
    <x v="0"/>
    <x v="1"/>
    <s v="Desk"/>
    <x v="0"/>
    <n v="495178.5"/>
    <n v="428172.28"/>
    <s v="Card"/>
    <s v="Retail"/>
    <n v="67006.219999999972"/>
    <n v="0.13531730476989606"/>
    <m/>
  </r>
  <r>
    <s v="T1619"/>
    <x v="58"/>
    <x v="0"/>
    <x v="2"/>
    <s v="Phone"/>
    <x v="5"/>
    <n v="406605.6"/>
    <n v="219191.49"/>
    <s v="Card"/>
    <s v="Retail"/>
    <n v="187414.11"/>
    <n v="0.46092358295114477"/>
    <m/>
  </r>
  <r>
    <s v="T1620"/>
    <x v="1"/>
    <x v="0"/>
    <x v="2"/>
    <s v="Phone"/>
    <x v="1"/>
    <n v="323935.17"/>
    <n v="292715.31"/>
    <s v="Cash"/>
    <s v="Retail"/>
    <n v="31219.859999999986"/>
    <n v="9.6376876891755808E-2"/>
    <m/>
  </r>
  <r>
    <s v="T1621"/>
    <x v="97"/>
    <x v="3"/>
    <x v="1"/>
    <s v="Chair"/>
    <x v="4"/>
    <n v="289851.08"/>
    <n v="162175.81"/>
    <s v="Card"/>
    <s v="Corporate"/>
    <n v="127675.27000000002"/>
    <n v="0.44048574875070334"/>
    <m/>
  </r>
  <r>
    <s v="T1622"/>
    <x v="110"/>
    <x v="0"/>
    <x v="0"/>
    <s v="Phone"/>
    <x v="1"/>
    <n v="202600.92"/>
    <n v="94644.43"/>
    <s v="Cash"/>
    <s v="Corporate"/>
    <n v="107956.49000000002"/>
    <n v="0.532852911033178"/>
    <m/>
  </r>
  <r>
    <s v="T1623"/>
    <x v="27"/>
    <x v="4"/>
    <x v="0"/>
    <s v="Chair"/>
    <x v="5"/>
    <n v="352851.92"/>
    <n v="232479.76"/>
    <s v="Transfer"/>
    <s v="Retail"/>
    <n v="120372.15999999997"/>
    <n v="0.34114072554855301"/>
    <m/>
  </r>
  <r>
    <s v="T1624"/>
    <x v="96"/>
    <x v="3"/>
    <x v="2"/>
    <s v="Chair"/>
    <x v="3"/>
    <n v="211713.51"/>
    <n v="94574.5"/>
    <s v="Cash"/>
    <s v="Corporate"/>
    <n v="117139.01000000001"/>
    <n v="0.55329019862738094"/>
    <m/>
  </r>
  <r>
    <s v="T1625"/>
    <x v="173"/>
    <x v="0"/>
    <x v="1"/>
    <s v="Laptop"/>
    <x v="5"/>
    <n v="318247.78999999998"/>
    <n v="247100.72"/>
    <s v="Cash"/>
    <s v="Corporate"/>
    <n v="71147.069999999978"/>
    <n v="0.22355872447692404"/>
    <m/>
  </r>
  <r>
    <s v="T1626"/>
    <x v="88"/>
    <x v="0"/>
    <x v="2"/>
    <s v="Phone"/>
    <x v="2"/>
    <n v="448373.26"/>
    <n v="221748.37"/>
    <s v="Transfer"/>
    <s v="Corporate"/>
    <n v="226624.89"/>
    <n v="0.50543801385479592"/>
    <m/>
  </r>
  <r>
    <s v="T1627"/>
    <x v="32"/>
    <x v="4"/>
    <x v="2"/>
    <s v="Cabinet"/>
    <x v="4"/>
    <n v="54064.84"/>
    <n v="33225.33"/>
    <s v="Card"/>
    <s v="Retail"/>
    <n v="20839.509999999995"/>
    <n v="0.38545402150454888"/>
    <m/>
  </r>
  <r>
    <s v="T1628"/>
    <x v="171"/>
    <x v="0"/>
    <x v="2"/>
    <s v="Cabinet"/>
    <x v="3"/>
    <n v="469697.97"/>
    <n v="343842.89"/>
    <s v="Cash"/>
    <s v="Retail"/>
    <n v="125855.07999999996"/>
    <n v="0.26794895451645229"/>
    <m/>
  </r>
  <r>
    <s v="T1629"/>
    <x v="172"/>
    <x v="3"/>
    <x v="1"/>
    <s v="Cabinet"/>
    <x v="5"/>
    <n v="248371.11"/>
    <n v="214837.34"/>
    <s v="Cash"/>
    <s v="Retail"/>
    <n v="33533.76999999999"/>
    <n v="0.13501477687964591"/>
    <m/>
  </r>
  <r>
    <s v="T1630"/>
    <x v="39"/>
    <x v="4"/>
    <x v="1"/>
    <s v="Laptop"/>
    <x v="2"/>
    <n v="383031.5"/>
    <n v="304052.5"/>
    <s v="Card"/>
    <s v="Retail"/>
    <n v="78979"/>
    <n v="0.20619452969272761"/>
    <m/>
  </r>
  <r>
    <s v="T1631"/>
    <x v="83"/>
    <x v="4"/>
    <x v="0"/>
    <s v="Cabinet"/>
    <x v="5"/>
    <n v="494051.27"/>
    <n v="395655.76"/>
    <s v="Card"/>
    <s v="Corporate"/>
    <n v="98395.510000000009"/>
    <n v="0.19916052437229845"/>
    <m/>
  </r>
  <r>
    <s v="T1632"/>
    <x v="138"/>
    <x v="1"/>
    <x v="0"/>
    <s v="Printer"/>
    <x v="0"/>
    <n v="240626.54"/>
    <n v="157799.63"/>
    <s v="Transfer"/>
    <s v="Corporate"/>
    <n v="82826.91"/>
    <n v="0.34421352690355767"/>
    <m/>
  </r>
  <r>
    <s v="T1633"/>
    <x v="2"/>
    <x v="0"/>
    <x v="0"/>
    <s v="Chair"/>
    <x v="1"/>
    <n v="184652.36"/>
    <n v="107428.93"/>
    <s v="Cash"/>
    <s v="Retail"/>
    <n v="77223.429999999993"/>
    <n v="0.41820981871014268"/>
    <m/>
  </r>
  <r>
    <s v="T1634"/>
    <x v="37"/>
    <x v="4"/>
    <x v="0"/>
    <s v="Printer"/>
    <x v="4"/>
    <n v="53520.62"/>
    <n v="38101.33"/>
    <s v="Cash"/>
    <s v="Retail"/>
    <n v="15419.29"/>
    <n v="0.28809998837831102"/>
    <m/>
  </r>
  <r>
    <s v="T1635"/>
    <x v="78"/>
    <x v="2"/>
    <x v="1"/>
    <s v="Chair"/>
    <x v="0"/>
    <n v="52770.87"/>
    <n v="42986.38"/>
    <s v="Transfer"/>
    <s v="Retail"/>
    <n v="9784.4900000000052"/>
    <n v="0.18541460468625975"/>
    <m/>
  </r>
  <r>
    <s v="T1636"/>
    <x v="127"/>
    <x v="0"/>
    <x v="2"/>
    <s v="Printer"/>
    <x v="4"/>
    <n v="404325.58"/>
    <n v="209831.6"/>
    <s v="Cash"/>
    <s v="Retail"/>
    <n v="194493.98"/>
    <n v="0.48103308229966552"/>
    <m/>
  </r>
  <r>
    <s v="T1637"/>
    <x v="136"/>
    <x v="0"/>
    <x v="1"/>
    <s v="Phone"/>
    <x v="5"/>
    <n v="497742.07"/>
    <n v="444277.15"/>
    <s v="Card"/>
    <s v="Corporate"/>
    <n v="53464.919999999984"/>
    <n v="0.10741491069862746"/>
    <m/>
  </r>
  <r>
    <s v="T1638"/>
    <x v="27"/>
    <x v="1"/>
    <x v="0"/>
    <s v="Printer"/>
    <x v="1"/>
    <n v="478222.52"/>
    <n v="414709.09"/>
    <s v="Card"/>
    <s v="Retail"/>
    <n v="63513.429999999993"/>
    <n v="0.132811457728925"/>
    <m/>
  </r>
  <r>
    <s v="T1639"/>
    <x v="139"/>
    <x v="0"/>
    <x v="0"/>
    <s v="Chair"/>
    <x v="4"/>
    <n v="498546.4"/>
    <n v="322907.05"/>
    <s v="Card"/>
    <s v="Corporate"/>
    <n v="175639.35000000003"/>
    <n v="0.3523029150345886"/>
    <m/>
  </r>
  <r>
    <s v="T1640"/>
    <x v="21"/>
    <x v="0"/>
    <x v="2"/>
    <s v="Cabinet"/>
    <x v="1"/>
    <n v="70256.289999999994"/>
    <n v="63096.2"/>
    <s v="Transfer"/>
    <s v="Corporate"/>
    <n v="7160.0899999999965"/>
    <n v="0.10191386422482596"/>
    <m/>
  </r>
  <r>
    <s v="T1641"/>
    <x v="44"/>
    <x v="0"/>
    <x v="0"/>
    <s v="Printer"/>
    <x v="5"/>
    <n v="282519.59999999998"/>
    <n v="214414.41"/>
    <s v="Transfer"/>
    <s v="Corporate"/>
    <n v="68105.189999999973"/>
    <n v="0.24106359346395784"/>
    <m/>
  </r>
  <r>
    <s v="T1642"/>
    <x v="51"/>
    <x v="0"/>
    <x v="2"/>
    <s v="Chair"/>
    <x v="1"/>
    <n v="380739.14"/>
    <n v="270568.81"/>
    <s v="Cash"/>
    <s v="Corporate"/>
    <n v="110170.33000000002"/>
    <n v="0.28935908716923614"/>
    <m/>
  </r>
  <r>
    <s v="T1643"/>
    <x v="142"/>
    <x v="0"/>
    <x v="2"/>
    <s v="Chair"/>
    <x v="3"/>
    <n v="431632.68"/>
    <n v="376737.99"/>
    <s v="Cash"/>
    <s v="Corporate"/>
    <n v="54894.69"/>
    <n v="0.12717917929661859"/>
    <m/>
  </r>
  <r>
    <s v="T1644"/>
    <x v="31"/>
    <x v="4"/>
    <x v="1"/>
    <s v="Chair"/>
    <x v="2"/>
    <n v="185152.38"/>
    <n v="86260.27"/>
    <s v="Card"/>
    <s v="Retail"/>
    <n v="98892.11"/>
    <n v="0.53411201087450244"/>
    <m/>
  </r>
  <r>
    <s v="T1645"/>
    <x v="93"/>
    <x v="3"/>
    <x v="2"/>
    <s v="Printer"/>
    <x v="3"/>
    <n v="283016.24"/>
    <n v="219703.31"/>
    <s v="Card"/>
    <s v="Corporate"/>
    <n v="63312.929999999993"/>
    <n v="0.22370776320115057"/>
    <m/>
  </r>
  <r>
    <s v="T1646"/>
    <x v="89"/>
    <x v="3"/>
    <x v="0"/>
    <s v="Desk"/>
    <x v="3"/>
    <n v="169330.78"/>
    <n v="118487.45"/>
    <s v="Transfer"/>
    <s v="Corporate"/>
    <n v="50843.33"/>
    <n v="0.30026041337552456"/>
    <m/>
  </r>
  <r>
    <s v="T1647"/>
    <x v="86"/>
    <x v="0"/>
    <x v="0"/>
    <s v="Phone"/>
    <x v="0"/>
    <n v="489850.97"/>
    <n v="398202.76"/>
    <s v="Transfer"/>
    <s v="Corporate"/>
    <n v="91648.209999999963"/>
    <n v="0.18709406658927299"/>
    <m/>
  </r>
  <r>
    <s v="T1648"/>
    <x v="126"/>
    <x v="1"/>
    <x v="0"/>
    <s v="Phone"/>
    <x v="5"/>
    <n v="357526.62"/>
    <n v="212983.89"/>
    <s v="Card"/>
    <s v="Corporate"/>
    <n v="144542.72999999998"/>
    <n v="0.40428522497149999"/>
    <m/>
  </r>
  <r>
    <s v="T1649"/>
    <x v="118"/>
    <x v="4"/>
    <x v="0"/>
    <s v="Laptop"/>
    <x v="0"/>
    <n v="431997.32"/>
    <n v="315834.76"/>
    <s v="Card"/>
    <s v="Retail"/>
    <n v="116162.56"/>
    <n v="0.2688964829689221"/>
    <m/>
  </r>
  <r>
    <s v="T1650"/>
    <x v="27"/>
    <x v="3"/>
    <x v="0"/>
    <s v="Laptop"/>
    <x v="2"/>
    <n v="59883.360000000001"/>
    <n v="27602.54"/>
    <s v="Card"/>
    <s v="Corporate"/>
    <n v="32280.82"/>
    <n v="0.53906160242177459"/>
    <m/>
  </r>
  <r>
    <s v="T1651"/>
    <x v="36"/>
    <x v="0"/>
    <x v="1"/>
    <s v="Cabinet"/>
    <x v="0"/>
    <n v="174069.25"/>
    <n v="95728.57"/>
    <s v="Transfer"/>
    <s v="Retail"/>
    <n v="78340.679999999993"/>
    <n v="0.45005467651523745"/>
    <m/>
  </r>
  <r>
    <s v="T1652"/>
    <x v="101"/>
    <x v="0"/>
    <x v="0"/>
    <s v="Chair"/>
    <x v="2"/>
    <n v="393091.05"/>
    <n v="174067.44"/>
    <s v="Card"/>
    <s v="Retail"/>
    <n v="219023.61"/>
    <n v="0.55718289693952583"/>
    <m/>
  </r>
  <r>
    <s v="T1653"/>
    <x v="102"/>
    <x v="0"/>
    <x v="0"/>
    <s v="Desk"/>
    <x v="3"/>
    <n v="422959.51"/>
    <n v="222879.21"/>
    <s v="Card"/>
    <s v="Corporate"/>
    <n v="200080.30000000002"/>
    <n v="0.47304835396655348"/>
    <m/>
  </r>
  <r>
    <s v="T1654"/>
    <x v="85"/>
    <x v="0"/>
    <x v="1"/>
    <s v="Cabinet"/>
    <x v="0"/>
    <n v="215097.29"/>
    <n v="202727.8"/>
    <s v="Transfer"/>
    <s v="Corporate"/>
    <n v="12369.49000000002"/>
    <n v="5.7506489272831002E-2"/>
    <m/>
  </r>
  <r>
    <s v="T1655"/>
    <x v="53"/>
    <x v="0"/>
    <x v="0"/>
    <s v="Chair"/>
    <x v="1"/>
    <n v="242047.15"/>
    <n v="149944.74"/>
    <s v="Card"/>
    <s v="Corporate"/>
    <n v="92102.41"/>
    <n v="0.38051433367424492"/>
    <m/>
  </r>
  <r>
    <s v="T1656"/>
    <x v="97"/>
    <x v="4"/>
    <x v="0"/>
    <s v="Laptop"/>
    <x v="4"/>
    <n v="72740.679999999993"/>
    <n v="31997.26"/>
    <s v="Card"/>
    <s v="Retail"/>
    <n v="40743.42"/>
    <n v="0.56011876710528419"/>
    <m/>
  </r>
  <r>
    <s v="T1657"/>
    <x v="135"/>
    <x v="0"/>
    <x v="2"/>
    <s v="Desk"/>
    <x v="2"/>
    <n v="54985.46"/>
    <n v="45657.59"/>
    <s v="Transfer"/>
    <s v="Retail"/>
    <n v="9327.8700000000026"/>
    <n v="0.16964248366750051"/>
    <m/>
  </r>
  <r>
    <s v="T1658"/>
    <x v="52"/>
    <x v="0"/>
    <x v="0"/>
    <s v="Printer"/>
    <x v="1"/>
    <n v="58181.41"/>
    <n v="35375.589999999997"/>
    <s v="Card"/>
    <s v="Corporate"/>
    <n v="22805.820000000007"/>
    <n v="0.39197778121912147"/>
    <m/>
  </r>
  <r>
    <s v="T1659"/>
    <x v="158"/>
    <x v="3"/>
    <x v="0"/>
    <s v="Desk"/>
    <x v="3"/>
    <n v="215358.52"/>
    <n v="145497.07999999999"/>
    <s v="Transfer"/>
    <s v="Retail"/>
    <n v="69861.440000000002"/>
    <n v="0.32439598860541952"/>
    <m/>
  </r>
  <r>
    <s v="T1660"/>
    <x v="147"/>
    <x v="0"/>
    <x v="0"/>
    <s v="Phone"/>
    <x v="0"/>
    <n v="392473.1"/>
    <n v="164270.54"/>
    <s v="Cash"/>
    <s v="Retail"/>
    <n v="228202.55999999997"/>
    <n v="0.58144764571126017"/>
    <m/>
  </r>
  <r>
    <s v="T1661"/>
    <x v="23"/>
    <x v="4"/>
    <x v="0"/>
    <s v="Laptop"/>
    <x v="0"/>
    <n v="63536.92"/>
    <n v="59704.7"/>
    <s v="Card"/>
    <s v="Retail"/>
    <n v="3832.2200000000012"/>
    <n v="6.0314853159391439E-2"/>
    <m/>
  </r>
  <r>
    <s v="T1662"/>
    <x v="6"/>
    <x v="1"/>
    <x v="1"/>
    <s v="Chair"/>
    <x v="0"/>
    <n v="307897.01"/>
    <n v="221191.03"/>
    <s v="Transfer"/>
    <s v="Corporate"/>
    <n v="86705.98000000001"/>
    <n v="0.28160708673332036"/>
    <m/>
  </r>
  <r>
    <s v="T1663"/>
    <x v="138"/>
    <x v="0"/>
    <x v="0"/>
    <s v="Cabinet"/>
    <x v="5"/>
    <n v="71793.850000000006"/>
    <n v="65905.37"/>
    <s v="Card"/>
    <s v="Corporate"/>
    <n v="5888.4800000000105"/>
    <n v="8.2019281595847135E-2"/>
    <m/>
  </r>
  <r>
    <s v="T1664"/>
    <x v="166"/>
    <x v="1"/>
    <x v="2"/>
    <s v="Printer"/>
    <x v="4"/>
    <n v="65394.74"/>
    <n v="58588.34"/>
    <s v="Cash"/>
    <s v="Retail"/>
    <n v="6806.4000000000015"/>
    <n v="0.10408176559766125"/>
    <m/>
  </r>
  <r>
    <s v="T1665"/>
    <x v="151"/>
    <x v="1"/>
    <x v="0"/>
    <s v="Chair"/>
    <x v="4"/>
    <n v="124609.25"/>
    <n v="82358.16"/>
    <s v="Cash"/>
    <s v="Retail"/>
    <n v="42251.09"/>
    <n v="0.33906864859550956"/>
    <m/>
  </r>
  <r>
    <s v="T1666"/>
    <x v="61"/>
    <x v="4"/>
    <x v="2"/>
    <s v="Laptop"/>
    <x v="3"/>
    <n v="199681.14"/>
    <n v="156345.41"/>
    <s v="Card"/>
    <s v="Corporate"/>
    <n v="43335.73000000001"/>
    <n v="0.21702465240332666"/>
    <m/>
  </r>
  <r>
    <s v="T1667"/>
    <x v="148"/>
    <x v="1"/>
    <x v="1"/>
    <s v="Desk"/>
    <x v="4"/>
    <n v="360977.22"/>
    <n v="181507.74"/>
    <s v="Cash"/>
    <s v="Retail"/>
    <n v="179469.47999999998"/>
    <n v="0.49717674705345671"/>
    <m/>
  </r>
  <r>
    <s v="T1668"/>
    <x v="119"/>
    <x v="0"/>
    <x v="1"/>
    <s v="Laptop"/>
    <x v="5"/>
    <n v="135763.43"/>
    <n v="64520.19"/>
    <s v="Card"/>
    <s v="Retail"/>
    <n v="71243.239999999991"/>
    <n v="0.52476016553205818"/>
    <m/>
  </r>
  <r>
    <s v="T1669"/>
    <x v="116"/>
    <x v="4"/>
    <x v="1"/>
    <s v="Chair"/>
    <x v="4"/>
    <n v="447703.08"/>
    <n v="310909.59000000003"/>
    <s v="Cash"/>
    <s v="Retail"/>
    <n v="136793.49"/>
    <n v="0.30554511708965681"/>
    <m/>
  </r>
  <r>
    <s v="T1670"/>
    <x v="94"/>
    <x v="0"/>
    <x v="1"/>
    <s v="Desk"/>
    <x v="4"/>
    <n v="392856.07"/>
    <n v="157374.99"/>
    <s v="Card"/>
    <s v="Corporate"/>
    <n v="235481.08000000002"/>
    <n v="0.59940802238336299"/>
    <m/>
  </r>
  <r>
    <s v="T1671"/>
    <x v="89"/>
    <x v="1"/>
    <x v="0"/>
    <s v="Printer"/>
    <x v="1"/>
    <n v="126781.74"/>
    <n v="118202.26"/>
    <s v="Cash"/>
    <s v="Corporate"/>
    <n v="8579.4800000000105"/>
    <n v="6.7671259283868565E-2"/>
    <m/>
  </r>
  <r>
    <s v="T1672"/>
    <x v="21"/>
    <x v="3"/>
    <x v="2"/>
    <s v="Printer"/>
    <x v="2"/>
    <n v="223088.82"/>
    <n v="91971.55"/>
    <s v="Card"/>
    <s v="Corporate"/>
    <n v="131117.27000000002"/>
    <n v="0.58773572785942396"/>
    <m/>
  </r>
  <r>
    <s v="T1673"/>
    <x v="105"/>
    <x v="0"/>
    <x v="1"/>
    <s v="Cabinet"/>
    <x v="0"/>
    <n v="307907.34000000003"/>
    <n v="269143.43"/>
    <s v="Transfer"/>
    <s v="Corporate"/>
    <n v="38763.910000000033"/>
    <n v="0.12589472534172141"/>
    <m/>
  </r>
  <r>
    <s v="T1674"/>
    <x v="112"/>
    <x v="0"/>
    <x v="0"/>
    <s v="Laptop"/>
    <x v="3"/>
    <n v="240175.91"/>
    <n v="101507.02"/>
    <s v="Transfer"/>
    <s v="Retail"/>
    <n v="138668.89000000001"/>
    <n v="0.57736385801556878"/>
    <m/>
  </r>
  <r>
    <s v="T1675"/>
    <x v="132"/>
    <x v="0"/>
    <x v="2"/>
    <s v="Phone"/>
    <x v="0"/>
    <n v="380034.46"/>
    <n v="245540.52"/>
    <s v="Cash"/>
    <s v="Corporate"/>
    <n v="134493.94000000003"/>
    <n v="0.35389932797146878"/>
    <m/>
  </r>
  <r>
    <s v="T1676"/>
    <x v="131"/>
    <x v="4"/>
    <x v="2"/>
    <s v="Cabinet"/>
    <x v="3"/>
    <n v="188455.22"/>
    <n v="89208.62"/>
    <s v="Cash"/>
    <s v="Retail"/>
    <n v="99246.6"/>
    <n v="0.52663226839776578"/>
    <m/>
  </r>
  <r>
    <s v="T1677"/>
    <x v="147"/>
    <x v="0"/>
    <x v="1"/>
    <s v="Chair"/>
    <x v="2"/>
    <n v="435725.25"/>
    <n v="388454.57"/>
    <s v="Card"/>
    <s v="Retail"/>
    <n v="47270.679999999993"/>
    <n v="0.10848735527720735"/>
    <m/>
  </r>
  <r>
    <s v="T1678"/>
    <x v="71"/>
    <x v="3"/>
    <x v="0"/>
    <s v="Laptop"/>
    <x v="4"/>
    <n v="338312.92"/>
    <n v="146292.76"/>
    <s v="Cash"/>
    <s v="Retail"/>
    <n v="192020.15999999997"/>
    <n v="0.56758151595274575"/>
    <m/>
  </r>
  <r>
    <s v="T1679"/>
    <x v="165"/>
    <x v="3"/>
    <x v="0"/>
    <s v="Desk"/>
    <x v="3"/>
    <n v="332319.45"/>
    <n v="248205.91"/>
    <s v="Transfer"/>
    <s v="Corporate"/>
    <n v="84113.540000000008"/>
    <n v="0.25311049353265364"/>
    <m/>
  </r>
  <r>
    <s v="T1680"/>
    <x v="65"/>
    <x v="0"/>
    <x v="0"/>
    <s v="Printer"/>
    <x v="1"/>
    <n v="343045.06"/>
    <n v="242095.4"/>
    <s v="Card"/>
    <s v="Corporate"/>
    <n v="100949.66"/>
    <n v="0.29427521853834598"/>
    <m/>
  </r>
  <r>
    <s v="T1681"/>
    <x v="42"/>
    <x v="0"/>
    <x v="1"/>
    <s v="Chair"/>
    <x v="1"/>
    <n v="315393.46999999997"/>
    <n v="135443.54"/>
    <s v="Card"/>
    <s v="Retail"/>
    <n v="179949.92999999996"/>
    <n v="0.5705569300467761"/>
    <m/>
  </r>
  <r>
    <s v="T1682"/>
    <x v="174"/>
    <x v="4"/>
    <x v="2"/>
    <s v="Printer"/>
    <x v="0"/>
    <n v="465020.91"/>
    <n v="348832.85"/>
    <s v="Transfer"/>
    <s v="Corporate"/>
    <n v="116188.06"/>
    <n v="0.24985556025856989"/>
    <m/>
  </r>
  <r>
    <s v="T1683"/>
    <x v="69"/>
    <x v="0"/>
    <x v="0"/>
    <s v="Chair"/>
    <x v="1"/>
    <n v="231897.88"/>
    <n v="120316.13"/>
    <s v="Card"/>
    <s v="Corporate"/>
    <n v="111581.75"/>
    <n v="0.48116761567634858"/>
    <m/>
  </r>
  <r>
    <s v="T1684"/>
    <x v="32"/>
    <x v="0"/>
    <x v="0"/>
    <s v="Laptop"/>
    <x v="1"/>
    <n v="341184.77"/>
    <n v="174905.04"/>
    <s v="Cash"/>
    <s v="Corporate"/>
    <n v="166279.73000000001"/>
    <n v="0.48735976696732392"/>
    <m/>
  </r>
  <r>
    <s v="T1685"/>
    <x v="84"/>
    <x v="0"/>
    <x v="2"/>
    <s v="Chair"/>
    <x v="0"/>
    <n v="354086.65"/>
    <n v="296229.89"/>
    <s v="Card"/>
    <s v="Corporate"/>
    <n v="57856.760000000009"/>
    <n v="0.16339717975811854"/>
    <m/>
  </r>
  <r>
    <s v="T1686"/>
    <x v="17"/>
    <x v="4"/>
    <x v="2"/>
    <s v="Printer"/>
    <x v="2"/>
    <n v="184957.8"/>
    <n v="158374.88"/>
    <s v="Transfer"/>
    <s v="Corporate"/>
    <n v="26582.919999999984"/>
    <n v="0.14372424412487597"/>
    <m/>
  </r>
  <r>
    <s v="T1687"/>
    <x v="38"/>
    <x v="0"/>
    <x v="1"/>
    <s v="Cabinet"/>
    <x v="4"/>
    <n v="361219.59"/>
    <n v="306698.93"/>
    <s v="Cash"/>
    <s v="Corporate"/>
    <n v="54520.660000000033"/>
    <n v="0.15093494790800252"/>
    <m/>
  </r>
  <r>
    <s v="T1688"/>
    <x v="19"/>
    <x v="1"/>
    <x v="2"/>
    <s v="Phone"/>
    <x v="4"/>
    <n v="212282.44"/>
    <n v="183104.93"/>
    <s v="Transfer"/>
    <s v="Corporate"/>
    <n v="29177.510000000009"/>
    <n v="0.13744664890793609"/>
    <m/>
  </r>
  <r>
    <s v="T1689"/>
    <x v="170"/>
    <x v="2"/>
    <x v="2"/>
    <s v="Printer"/>
    <x v="5"/>
    <n v="390731.57"/>
    <n v="355230.94"/>
    <s v="Cash"/>
    <s v="Retail"/>
    <n v="35500.630000000005"/>
    <n v="9.0856825313603409E-2"/>
    <m/>
  </r>
  <r>
    <s v="T1690"/>
    <x v="173"/>
    <x v="0"/>
    <x v="1"/>
    <s v="Chair"/>
    <x v="4"/>
    <n v="212356.3"/>
    <n v="148128.88"/>
    <s v="Transfer"/>
    <s v="Corporate"/>
    <n v="64227.419999999984"/>
    <n v="0.30245121053625434"/>
    <m/>
  </r>
  <r>
    <s v="T1691"/>
    <x v="11"/>
    <x v="1"/>
    <x v="2"/>
    <s v="Printer"/>
    <x v="5"/>
    <n v="187192.55"/>
    <n v="172490.93"/>
    <s v="Card"/>
    <s v="Corporate"/>
    <n v="14701.619999999995"/>
    <n v="7.8537420426186819E-2"/>
    <m/>
  </r>
  <r>
    <s v="T1692"/>
    <x v="57"/>
    <x v="4"/>
    <x v="2"/>
    <s v="Laptop"/>
    <x v="2"/>
    <n v="328521.17"/>
    <n v="150924.69"/>
    <s v="Transfer"/>
    <s v="Retail"/>
    <n v="177596.47999999998"/>
    <n v="0.54059371577180249"/>
    <m/>
  </r>
  <r>
    <s v="T1693"/>
    <x v="6"/>
    <x v="4"/>
    <x v="2"/>
    <s v="Desk"/>
    <x v="5"/>
    <n v="145264.14000000001"/>
    <n v="115747.85"/>
    <s v="Cash"/>
    <s v="Corporate"/>
    <n v="29516.290000000008"/>
    <n v="0.20319047770495874"/>
    <m/>
  </r>
  <r>
    <s v="T1694"/>
    <x v="46"/>
    <x v="1"/>
    <x v="1"/>
    <s v="Printer"/>
    <x v="3"/>
    <n v="210280.32000000001"/>
    <n v="89114.1"/>
    <s v="Cash"/>
    <s v="Corporate"/>
    <n v="121166.22"/>
    <n v="0.57621283817715319"/>
    <m/>
  </r>
  <r>
    <s v="T1695"/>
    <x v="175"/>
    <x v="0"/>
    <x v="0"/>
    <s v="Printer"/>
    <x v="4"/>
    <n v="257144.08"/>
    <n v="126985.04"/>
    <s v="Card"/>
    <s v="Retail"/>
    <n v="130159.03999999999"/>
    <n v="0.50617163731710257"/>
    <m/>
  </r>
  <r>
    <s v="T1696"/>
    <x v="54"/>
    <x v="4"/>
    <x v="2"/>
    <s v="Phone"/>
    <x v="5"/>
    <n v="349331.16"/>
    <n v="244340.2"/>
    <s v="Card"/>
    <s v="Corporate"/>
    <n v="104990.95999999996"/>
    <n v="0.3005485110460801"/>
    <m/>
  </r>
  <r>
    <s v="T1697"/>
    <x v="16"/>
    <x v="0"/>
    <x v="2"/>
    <s v="Desk"/>
    <x v="5"/>
    <n v="353520.1"/>
    <n v="173683.6"/>
    <s v="Transfer"/>
    <s v="Retail"/>
    <n v="179836.49999999997"/>
    <n v="0.50870233403984666"/>
    <m/>
  </r>
  <r>
    <s v="T1698"/>
    <x v="136"/>
    <x v="0"/>
    <x v="2"/>
    <s v="Cabinet"/>
    <x v="0"/>
    <n v="155183.82999999999"/>
    <n v="127899.67"/>
    <s v="Transfer"/>
    <s v="Corporate"/>
    <n v="27284.159999999989"/>
    <n v="0.17581831818431076"/>
    <m/>
  </r>
  <r>
    <s v="T1699"/>
    <x v="138"/>
    <x v="3"/>
    <x v="2"/>
    <s v="Desk"/>
    <x v="3"/>
    <n v="387379.1"/>
    <n v="235010.48"/>
    <s v="Cash"/>
    <s v="Retail"/>
    <n v="152368.61999999997"/>
    <n v="0.39333206153868389"/>
    <m/>
  </r>
  <r>
    <s v="T1700"/>
    <x v="2"/>
    <x v="0"/>
    <x v="1"/>
    <s v="Phone"/>
    <x v="3"/>
    <n v="491022.58"/>
    <n v="370277.05"/>
    <s v="Card"/>
    <s v="Retail"/>
    <n v="120745.53000000003"/>
    <n v="0.24590626769139623"/>
    <m/>
  </r>
  <r>
    <s v="T1701"/>
    <x v="169"/>
    <x v="3"/>
    <x v="1"/>
    <s v="Chair"/>
    <x v="2"/>
    <n v="366889.75"/>
    <n v="227036.92"/>
    <s v="Card"/>
    <s v="Corporate"/>
    <n v="139852.82999999999"/>
    <n v="0.38118489273685074"/>
    <m/>
  </r>
  <r>
    <s v="T1702"/>
    <x v="2"/>
    <x v="1"/>
    <x v="0"/>
    <s v="Chair"/>
    <x v="1"/>
    <n v="91672.02"/>
    <n v="61660.69"/>
    <s v="Cash"/>
    <s v="Corporate"/>
    <n v="30011.33"/>
    <n v="0.32737720844375418"/>
    <m/>
  </r>
  <r>
    <s v="T1703"/>
    <x v="70"/>
    <x v="0"/>
    <x v="1"/>
    <s v="Phone"/>
    <x v="3"/>
    <n v="185640.74"/>
    <n v="160776.51999999999"/>
    <s v="Card"/>
    <s v="Retail"/>
    <n v="24864.22"/>
    <n v="0.13393730277093274"/>
    <m/>
  </r>
  <r>
    <s v="T1704"/>
    <x v="103"/>
    <x v="4"/>
    <x v="0"/>
    <s v="Laptop"/>
    <x v="3"/>
    <n v="373308.22"/>
    <n v="189983.84"/>
    <s v="Transfer"/>
    <s v="Retail"/>
    <n v="183324.37999999998"/>
    <n v="0.49108048036016994"/>
    <m/>
  </r>
  <r>
    <s v="T1705"/>
    <x v="54"/>
    <x v="2"/>
    <x v="1"/>
    <s v="Phone"/>
    <x v="2"/>
    <n v="401054.3"/>
    <n v="174947.29"/>
    <s v="Cash"/>
    <s v="Corporate"/>
    <n v="226107.00999999998"/>
    <n v="0.5637815378117127"/>
    <m/>
  </r>
  <r>
    <s v="T1706"/>
    <x v="137"/>
    <x v="3"/>
    <x v="1"/>
    <s v="Phone"/>
    <x v="2"/>
    <n v="431087.87"/>
    <n v="231494.09"/>
    <s v="Cash"/>
    <s v="Retail"/>
    <n v="199593.78"/>
    <n v="0.46300022313316308"/>
    <m/>
  </r>
  <r>
    <s v="T1707"/>
    <x v="12"/>
    <x v="2"/>
    <x v="0"/>
    <s v="Chair"/>
    <x v="5"/>
    <n v="444467.44"/>
    <n v="407695.11"/>
    <s v="Card"/>
    <s v="Retail"/>
    <n v="36772.330000000016"/>
    <n v="8.2733461870682853E-2"/>
    <m/>
  </r>
  <r>
    <s v="T1708"/>
    <x v="22"/>
    <x v="2"/>
    <x v="1"/>
    <s v="Desk"/>
    <x v="5"/>
    <n v="326224.57"/>
    <n v="185995.77"/>
    <s v="Card"/>
    <s v="Retail"/>
    <n v="140228.80000000002"/>
    <n v="0.42985358215048003"/>
    <m/>
  </r>
  <r>
    <s v="T1709"/>
    <x v="3"/>
    <x v="0"/>
    <x v="0"/>
    <s v="Phone"/>
    <x v="2"/>
    <n v="393589.48"/>
    <n v="163530.97"/>
    <s v="Cash"/>
    <s v="Retail"/>
    <n v="230058.50999999998"/>
    <n v="0.58451386962883256"/>
    <m/>
  </r>
  <r>
    <s v="T1710"/>
    <x v="176"/>
    <x v="3"/>
    <x v="1"/>
    <s v="Printer"/>
    <x v="0"/>
    <n v="91607.63"/>
    <n v="54636.42"/>
    <s v="Transfer"/>
    <s v="Retail"/>
    <n v="36971.210000000006"/>
    <n v="0.40358221252967691"/>
    <m/>
  </r>
  <r>
    <s v="T1711"/>
    <x v="150"/>
    <x v="1"/>
    <x v="2"/>
    <s v="Printer"/>
    <x v="3"/>
    <n v="242727.19"/>
    <n v="181236.6"/>
    <s v="Card"/>
    <s v="Corporate"/>
    <n v="61490.59"/>
    <n v="0.25333210506824555"/>
    <m/>
  </r>
  <r>
    <s v="T1712"/>
    <x v="73"/>
    <x v="0"/>
    <x v="1"/>
    <s v="Desk"/>
    <x v="5"/>
    <n v="226386.76"/>
    <n v="149937.70000000001"/>
    <s v="Transfer"/>
    <s v="Corporate"/>
    <n v="76449.06"/>
    <n v="0.3376922749369265"/>
    <m/>
  </r>
  <r>
    <s v="T1713"/>
    <x v="93"/>
    <x v="3"/>
    <x v="1"/>
    <s v="Cabinet"/>
    <x v="4"/>
    <n v="158921.91"/>
    <n v="146462.59"/>
    <s v="Cash"/>
    <s v="Corporate"/>
    <n v="12459.320000000007"/>
    <n v="7.8399007411879246E-2"/>
    <m/>
  </r>
  <r>
    <s v="T1714"/>
    <x v="60"/>
    <x v="0"/>
    <x v="0"/>
    <s v="Cabinet"/>
    <x v="1"/>
    <n v="322539.76"/>
    <n v="197210.37"/>
    <s v="Cash"/>
    <s v="Retail"/>
    <n v="125329.39000000001"/>
    <n v="0.38857035796144951"/>
    <m/>
  </r>
  <r>
    <s v="T1715"/>
    <x v="108"/>
    <x v="0"/>
    <x v="1"/>
    <s v="Phone"/>
    <x v="2"/>
    <n v="128958.07"/>
    <n v="70692.52"/>
    <s v="Card"/>
    <s v="Retail"/>
    <n v="58265.55"/>
    <n v="0.45181778852614651"/>
    <m/>
  </r>
  <r>
    <s v="T1716"/>
    <x v="17"/>
    <x v="3"/>
    <x v="0"/>
    <s v="Laptop"/>
    <x v="4"/>
    <n v="317725.01"/>
    <n v="301497.82"/>
    <s v="Transfer"/>
    <s v="Retail"/>
    <n v="16227.190000000002"/>
    <n v="5.1073064723485259E-2"/>
    <m/>
  </r>
  <r>
    <s v="T1717"/>
    <x v="74"/>
    <x v="3"/>
    <x v="1"/>
    <s v="Printer"/>
    <x v="2"/>
    <n v="345575.36"/>
    <n v="308447.01"/>
    <s v="Cash"/>
    <s v="Corporate"/>
    <n v="37128.349999999977"/>
    <n v="0.10743922830609214"/>
    <m/>
  </r>
  <r>
    <s v="T1718"/>
    <x v="82"/>
    <x v="0"/>
    <x v="2"/>
    <s v="Phone"/>
    <x v="5"/>
    <n v="93749.04"/>
    <n v="59161.99"/>
    <s v="Card"/>
    <s v="Retail"/>
    <n v="34587.049999999996"/>
    <n v="0.36893231120019998"/>
    <m/>
  </r>
  <r>
    <s v="T1719"/>
    <x v="17"/>
    <x v="0"/>
    <x v="1"/>
    <s v="Laptop"/>
    <x v="4"/>
    <n v="106252.84"/>
    <n v="83739.399999999994"/>
    <s v="Cash"/>
    <s v="Corporate"/>
    <n v="22513.440000000002"/>
    <n v="0.21188553642424995"/>
    <m/>
  </r>
  <r>
    <s v="T1720"/>
    <x v="161"/>
    <x v="0"/>
    <x v="2"/>
    <s v="Printer"/>
    <x v="2"/>
    <n v="221031.46"/>
    <n v="167866.97"/>
    <s v="Transfer"/>
    <s v="Corporate"/>
    <n v="53164.489999999991"/>
    <n v="0.24052906314784325"/>
    <m/>
  </r>
  <r>
    <s v="T1721"/>
    <x v="156"/>
    <x v="0"/>
    <x v="2"/>
    <s v="Phone"/>
    <x v="2"/>
    <n v="179376.25"/>
    <n v="155046.98000000001"/>
    <s v="Card"/>
    <s v="Retail"/>
    <n v="24329.26999999999"/>
    <n v="0.13563261580058669"/>
    <m/>
  </r>
  <r>
    <s v="T1722"/>
    <x v="127"/>
    <x v="0"/>
    <x v="0"/>
    <s v="Laptop"/>
    <x v="5"/>
    <n v="346220.13"/>
    <n v="187137.49"/>
    <s v="Card"/>
    <s v="Corporate"/>
    <n v="159082.64000000001"/>
    <n v="0.45948408603508989"/>
    <m/>
  </r>
  <r>
    <s v="T1723"/>
    <x v="110"/>
    <x v="4"/>
    <x v="1"/>
    <s v="Cabinet"/>
    <x v="2"/>
    <n v="462857.16"/>
    <n v="237853.56"/>
    <s v="Card"/>
    <s v="Retail"/>
    <n v="225003.59999999998"/>
    <n v="0.48611887088448624"/>
    <m/>
  </r>
  <r>
    <s v="T1724"/>
    <x v="35"/>
    <x v="0"/>
    <x v="0"/>
    <s v="Phone"/>
    <x v="4"/>
    <n v="219014.33"/>
    <n v="142733"/>
    <s v="Card"/>
    <s v="Corporate"/>
    <n v="76281.329999999987"/>
    <n v="0.34829378516008513"/>
    <m/>
  </r>
  <r>
    <s v="T1725"/>
    <x v="2"/>
    <x v="2"/>
    <x v="2"/>
    <s v="Laptop"/>
    <x v="3"/>
    <n v="310833.39"/>
    <n v="127317.85"/>
    <s v="Cash"/>
    <s v="Corporate"/>
    <n v="183515.54"/>
    <n v="0.59039841247428404"/>
    <m/>
  </r>
  <r>
    <s v="T1726"/>
    <x v="144"/>
    <x v="2"/>
    <x v="2"/>
    <s v="Desk"/>
    <x v="5"/>
    <n v="474450.23"/>
    <n v="282879.74"/>
    <s v="Card"/>
    <s v="Corporate"/>
    <n v="191570.49"/>
    <n v="0.40377362658249738"/>
    <m/>
  </r>
  <r>
    <s v="T1727"/>
    <x v="119"/>
    <x v="0"/>
    <x v="0"/>
    <s v="Desk"/>
    <x v="3"/>
    <n v="449099.84"/>
    <n v="422063.06"/>
    <s v="Cash"/>
    <s v="Corporate"/>
    <n v="27036.780000000028"/>
    <n v="6.0202159056658822E-2"/>
    <m/>
  </r>
  <r>
    <s v="T1728"/>
    <x v="3"/>
    <x v="0"/>
    <x v="0"/>
    <s v="Desk"/>
    <x v="5"/>
    <n v="82322.64"/>
    <n v="58381.33"/>
    <s v="Card"/>
    <s v="Retail"/>
    <n v="23941.309999999998"/>
    <n v="0.29082291335652011"/>
    <m/>
  </r>
  <r>
    <s v="T1729"/>
    <x v="46"/>
    <x v="0"/>
    <x v="1"/>
    <s v="Printer"/>
    <x v="5"/>
    <n v="392014.58"/>
    <n v="175670.94"/>
    <s v="Cash"/>
    <s v="Corporate"/>
    <n v="216343.64"/>
    <n v="0.55187651438882712"/>
    <m/>
  </r>
  <r>
    <s v="T1730"/>
    <x v="71"/>
    <x v="2"/>
    <x v="0"/>
    <s v="Cabinet"/>
    <x v="1"/>
    <n v="168892.24"/>
    <n v="124921.02"/>
    <s v="Cash"/>
    <s v="Corporate"/>
    <n v="43971.219999999987"/>
    <n v="0.26035074198790892"/>
    <m/>
  </r>
  <r>
    <s v="T1731"/>
    <x v="149"/>
    <x v="2"/>
    <x v="1"/>
    <s v="Phone"/>
    <x v="3"/>
    <n v="216131.17"/>
    <n v="147186.79999999999"/>
    <s v="Card"/>
    <s v="Retail"/>
    <n v="68944.370000000024"/>
    <n v="0.3189931836301077"/>
    <m/>
  </r>
  <r>
    <s v="T1732"/>
    <x v="16"/>
    <x v="4"/>
    <x v="1"/>
    <s v="Chair"/>
    <x v="4"/>
    <n v="373296.35"/>
    <n v="342221.99"/>
    <s v="Cash"/>
    <s v="Retail"/>
    <n v="31074.359999999986"/>
    <n v="8.3243139130612945E-2"/>
    <m/>
  </r>
  <r>
    <s v="T1733"/>
    <x v="7"/>
    <x v="3"/>
    <x v="1"/>
    <s v="Cabinet"/>
    <x v="3"/>
    <n v="156828.10999999999"/>
    <n v="120759.31"/>
    <s v="Transfer"/>
    <s v="Retail"/>
    <n v="36068.799999999988"/>
    <n v="0.22998938136791924"/>
    <m/>
  </r>
  <r>
    <s v="T1734"/>
    <x v="175"/>
    <x v="4"/>
    <x v="2"/>
    <s v="Laptop"/>
    <x v="0"/>
    <n v="50512.39"/>
    <n v="40566.050000000003"/>
    <s v="Card"/>
    <s v="Retail"/>
    <n v="9946.3399999999965"/>
    <n v="0.19690891680239236"/>
    <m/>
  </r>
  <r>
    <s v="T1735"/>
    <x v="157"/>
    <x v="4"/>
    <x v="1"/>
    <s v="Printer"/>
    <x v="0"/>
    <n v="470748.25"/>
    <n v="337865.06"/>
    <s v="Card"/>
    <s v="Retail"/>
    <n v="132883.19"/>
    <n v="0.28228079445860926"/>
    <m/>
  </r>
  <r>
    <s v="T1736"/>
    <x v="177"/>
    <x v="0"/>
    <x v="2"/>
    <s v="Phone"/>
    <x v="5"/>
    <n v="102054.15"/>
    <n v="44727.1"/>
    <s v="Cash"/>
    <s v="Corporate"/>
    <n v="57327.049999999996"/>
    <n v="0.56173168852026101"/>
    <m/>
  </r>
  <r>
    <s v="T1737"/>
    <x v="80"/>
    <x v="0"/>
    <x v="2"/>
    <s v="Printer"/>
    <x v="3"/>
    <n v="134567.29"/>
    <n v="69123.17"/>
    <s v="Transfer"/>
    <s v="Retail"/>
    <n v="65444.12000000001"/>
    <n v="0.48633007322953448"/>
    <m/>
  </r>
  <r>
    <s v="T1738"/>
    <x v="78"/>
    <x v="0"/>
    <x v="1"/>
    <s v="Laptop"/>
    <x v="4"/>
    <n v="421616.34"/>
    <n v="202201.58"/>
    <s v="Transfer"/>
    <s v="Corporate"/>
    <n v="219414.76000000004"/>
    <n v="0.52041332174175226"/>
    <m/>
  </r>
  <r>
    <s v="T1739"/>
    <x v="110"/>
    <x v="4"/>
    <x v="2"/>
    <s v="Phone"/>
    <x v="1"/>
    <n v="341797.36"/>
    <n v="159361.81"/>
    <s v="Transfer"/>
    <s v="Retail"/>
    <n v="182435.55"/>
    <n v="0.53375353747612331"/>
    <m/>
  </r>
  <r>
    <s v="T1740"/>
    <x v="133"/>
    <x v="0"/>
    <x v="0"/>
    <s v="Chair"/>
    <x v="3"/>
    <n v="222418.72"/>
    <n v="147473.24"/>
    <s v="Card"/>
    <s v="Retail"/>
    <n v="74945.48000000001"/>
    <n v="0.33695670939928085"/>
    <m/>
  </r>
  <r>
    <s v="T1741"/>
    <x v="33"/>
    <x v="1"/>
    <x v="0"/>
    <s v="Cabinet"/>
    <x v="4"/>
    <n v="218986.69"/>
    <n v="167575.24"/>
    <s v="Cash"/>
    <s v="Retail"/>
    <n v="51411.450000000012"/>
    <n v="0.23476974787828433"/>
    <m/>
  </r>
  <r>
    <s v="T1742"/>
    <x v="87"/>
    <x v="1"/>
    <x v="0"/>
    <s v="Printer"/>
    <x v="3"/>
    <n v="327229.01"/>
    <n v="168495.43"/>
    <s v="Cash"/>
    <s v="Corporate"/>
    <n v="158733.58000000002"/>
    <n v="0.48508407002178694"/>
    <m/>
  </r>
  <r>
    <s v="T1743"/>
    <x v="109"/>
    <x v="4"/>
    <x v="2"/>
    <s v="Laptop"/>
    <x v="4"/>
    <n v="82179.33"/>
    <n v="75651.77"/>
    <s v="Card"/>
    <s v="Corporate"/>
    <n v="6527.5599999999977"/>
    <n v="7.9430679223108744E-2"/>
    <m/>
  </r>
  <r>
    <s v="T1744"/>
    <x v="97"/>
    <x v="2"/>
    <x v="2"/>
    <s v="Printer"/>
    <x v="5"/>
    <n v="206335.87"/>
    <n v="164467.51999999999"/>
    <s v="Card"/>
    <s v="Corporate"/>
    <n v="41868.350000000006"/>
    <n v="0.20291357968927073"/>
    <m/>
  </r>
  <r>
    <s v="T1745"/>
    <x v="136"/>
    <x v="3"/>
    <x v="0"/>
    <s v="Phone"/>
    <x v="0"/>
    <n v="262388.56"/>
    <n v="232620.26"/>
    <s v="Card"/>
    <s v="Retail"/>
    <n v="29768.299999999988"/>
    <n v="0.11345121144001091"/>
    <m/>
  </r>
  <r>
    <s v="T1746"/>
    <x v="109"/>
    <x v="1"/>
    <x v="1"/>
    <s v="Laptop"/>
    <x v="0"/>
    <n v="211529.47"/>
    <n v="124719.64"/>
    <s v="Cash"/>
    <s v="Retail"/>
    <n v="86809.83"/>
    <n v="0.41039118568207067"/>
    <m/>
  </r>
  <r>
    <s v="T1747"/>
    <x v="51"/>
    <x v="0"/>
    <x v="1"/>
    <s v="Desk"/>
    <x v="3"/>
    <n v="103492.21"/>
    <n v="41933.72"/>
    <s v="Card"/>
    <s v="Retail"/>
    <n v="61558.490000000005"/>
    <n v="0.59481278832484108"/>
    <m/>
  </r>
  <r>
    <s v="T1748"/>
    <x v="152"/>
    <x v="4"/>
    <x v="2"/>
    <s v="Desk"/>
    <x v="4"/>
    <n v="422103.76"/>
    <n v="394289.15"/>
    <s v="Transfer"/>
    <s v="Corporate"/>
    <n v="27814.609999999986"/>
    <n v="6.5895196005835113E-2"/>
    <m/>
  </r>
  <r>
    <s v="T1749"/>
    <x v="62"/>
    <x v="0"/>
    <x v="1"/>
    <s v="Cabinet"/>
    <x v="3"/>
    <n v="469716.24"/>
    <n v="405347.51"/>
    <s v="Cash"/>
    <s v="Retail"/>
    <n v="64368.729999999981"/>
    <n v="0.13703748033067792"/>
    <m/>
  </r>
  <r>
    <s v="T1750"/>
    <x v="86"/>
    <x v="0"/>
    <x v="1"/>
    <s v="Cabinet"/>
    <x v="1"/>
    <n v="261386.13"/>
    <n v="187767.13"/>
    <s v="Card"/>
    <s v="Corporate"/>
    <n v="73619"/>
    <n v="0.28164845625129381"/>
    <m/>
  </r>
  <r>
    <s v="T1751"/>
    <x v="150"/>
    <x v="3"/>
    <x v="2"/>
    <s v="Cabinet"/>
    <x v="1"/>
    <n v="184270.57"/>
    <n v="78710.7"/>
    <s v="Transfer"/>
    <s v="Corporate"/>
    <n v="105559.87000000001"/>
    <n v="0.57285257217145424"/>
    <m/>
  </r>
  <r>
    <s v="T1752"/>
    <x v="171"/>
    <x v="3"/>
    <x v="1"/>
    <s v="Phone"/>
    <x v="4"/>
    <n v="64342.91"/>
    <n v="33787.879999999997"/>
    <s v="Cash"/>
    <s v="Retail"/>
    <n v="30555.030000000006"/>
    <n v="0.47487796246703801"/>
    <m/>
  </r>
  <r>
    <s v="T1753"/>
    <x v="40"/>
    <x v="2"/>
    <x v="1"/>
    <s v="Printer"/>
    <x v="3"/>
    <n v="239791"/>
    <n v="117983.31"/>
    <s v="Transfer"/>
    <s v="Corporate"/>
    <n v="121807.69"/>
    <n v="0.50797440270902583"/>
    <m/>
  </r>
  <r>
    <s v="T1754"/>
    <x v="67"/>
    <x v="4"/>
    <x v="1"/>
    <s v="Phone"/>
    <x v="1"/>
    <n v="294337.99"/>
    <n v="255596.85"/>
    <s v="Transfer"/>
    <s v="Corporate"/>
    <n v="38741.139999999985"/>
    <n v="0.13162126981977415"/>
    <m/>
  </r>
  <r>
    <s v="T1755"/>
    <x v="23"/>
    <x v="0"/>
    <x v="0"/>
    <s v="Laptop"/>
    <x v="4"/>
    <n v="62962.57"/>
    <n v="48139.54"/>
    <s v="Cash"/>
    <s v="Retail"/>
    <n v="14823.029999999999"/>
    <n v="0.23542606345325484"/>
    <m/>
  </r>
  <r>
    <s v="T1756"/>
    <x v="36"/>
    <x v="1"/>
    <x v="1"/>
    <s v="Cabinet"/>
    <x v="0"/>
    <n v="456521.08"/>
    <n v="338292.45"/>
    <s v="Cash"/>
    <s v="Retail"/>
    <n v="118228.63"/>
    <n v="0.2589773729616166"/>
    <m/>
  </r>
  <r>
    <s v="T1757"/>
    <x v="113"/>
    <x v="0"/>
    <x v="0"/>
    <s v="Laptop"/>
    <x v="5"/>
    <n v="263336.49"/>
    <n v="136663.18"/>
    <s v="Card"/>
    <s v="Retail"/>
    <n v="126673.31"/>
    <n v="0.4810321197795262"/>
    <m/>
  </r>
  <r>
    <s v="T1758"/>
    <x v="61"/>
    <x v="0"/>
    <x v="0"/>
    <s v="Printer"/>
    <x v="2"/>
    <n v="318442.15999999997"/>
    <n v="248633.02"/>
    <s v="Transfer"/>
    <s v="Retail"/>
    <n v="69809.139999999985"/>
    <n v="0.21922078408210768"/>
    <m/>
  </r>
  <r>
    <s v="T1759"/>
    <x v="102"/>
    <x v="1"/>
    <x v="2"/>
    <s v="Chair"/>
    <x v="2"/>
    <n v="250877.1"/>
    <n v="121004.41"/>
    <s v="Card"/>
    <s v="Corporate"/>
    <n v="129872.69"/>
    <n v="0.51767455060665157"/>
    <m/>
  </r>
  <r>
    <s v="T1760"/>
    <x v="86"/>
    <x v="0"/>
    <x v="2"/>
    <s v="Chair"/>
    <x v="1"/>
    <n v="421542.05"/>
    <n v="366350.89"/>
    <s v="Transfer"/>
    <s v="Corporate"/>
    <n v="55191.159999999974"/>
    <n v="0.13092681975617848"/>
    <m/>
  </r>
  <r>
    <s v="T1761"/>
    <x v="116"/>
    <x v="0"/>
    <x v="2"/>
    <s v="Cabinet"/>
    <x v="1"/>
    <n v="181994.62"/>
    <n v="116448.73"/>
    <s v="Card"/>
    <s v="Retail"/>
    <n v="65545.89"/>
    <n v="0.36015289902525693"/>
    <m/>
  </r>
  <r>
    <s v="T1762"/>
    <x v="26"/>
    <x v="0"/>
    <x v="2"/>
    <s v="Desk"/>
    <x v="1"/>
    <n v="127585.93"/>
    <n v="66793.460000000006"/>
    <s v="Transfer"/>
    <s v="Corporate"/>
    <n v="60792.469999999987"/>
    <n v="0.4764825557175465"/>
    <m/>
  </r>
  <r>
    <s v="T1763"/>
    <x v="170"/>
    <x v="2"/>
    <x v="1"/>
    <s v="Cabinet"/>
    <x v="2"/>
    <n v="160703.62"/>
    <n v="105986.2"/>
    <s v="Transfer"/>
    <s v="Corporate"/>
    <n v="54717.42"/>
    <n v="0.34048654286692481"/>
    <m/>
  </r>
  <r>
    <s v="T1764"/>
    <x v="138"/>
    <x v="0"/>
    <x v="2"/>
    <s v="Phone"/>
    <x v="5"/>
    <n v="225050.52"/>
    <n v="190640.7"/>
    <s v="Cash"/>
    <s v="Corporate"/>
    <n v="34409.819999999978"/>
    <n v="0.15289820259024497"/>
    <m/>
  </r>
  <r>
    <s v="T1765"/>
    <x v="81"/>
    <x v="4"/>
    <x v="1"/>
    <s v="Laptop"/>
    <x v="5"/>
    <n v="400981.67"/>
    <n v="164794.04999999999"/>
    <s v="Cash"/>
    <s v="Retail"/>
    <n v="236187.62"/>
    <n v="0.58902348329288967"/>
    <m/>
  </r>
  <r>
    <s v="T1766"/>
    <x v="53"/>
    <x v="4"/>
    <x v="1"/>
    <s v="Chair"/>
    <x v="2"/>
    <n v="459907.93"/>
    <n v="386756.26"/>
    <s v="Transfer"/>
    <s v="Retail"/>
    <n v="73151.669999999984"/>
    <n v="0.15905720521061681"/>
    <m/>
  </r>
  <r>
    <s v="T1767"/>
    <x v="23"/>
    <x v="3"/>
    <x v="0"/>
    <s v="Cabinet"/>
    <x v="3"/>
    <n v="400641.33"/>
    <n v="344851.77"/>
    <s v="Card"/>
    <s v="Corporate"/>
    <n v="55789.56"/>
    <n v="0.13925063597407686"/>
    <m/>
  </r>
  <r>
    <s v="T1768"/>
    <x v="132"/>
    <x v="2"/>
    <x v="0"/>
    <s v="Printer"/>
    <x v="3"/>
    <n v="440063.23"/>
    <n v="319039.75"/>
    <s v="Card"/>
    <s v="Corporate"/>
    <n v="121023.47999999998"/>
    <n v="0.27501384289707637"/>
    <m/>
  </r>
  <r>
    <s v="T1769"/>
    <x v="22"/>
    <x v="0"/>
    <x v="1"/>
    <s v="Phone"/>
    <x v="3"/>
    <n v="347994.56"/>
    <n v="202388.31"/>
    <s v="Card"/>
    <s v="Corporate"/>
    <n v="145606.25"/>
    <n v="0.41841530511281555"/>
    <m/>
  </r>
  <r>
    <s v="T1770"/>
    <x v="46"/>
    <x v="0"/>
    <x v="2"/>
    <s v="Laptop"/>
    <x v="1"/>
    <n v="348145.2"/>
    <n v="140062.45000000001"/>
    <s v="Card"/>
    <s v="Corporate"/>
    <n v="208082.75"/>
    <n v="0.59768955596687812"/>
    <m/>
  </r>
  <r>
    <s v="T1771"/>
    <x v="74"/>
    <x v="4"/>
    <x v="1"/>
    <s v="Laptop"/>
    <x v="3"/>
    <n v="53455.38"/>
    <n v="42036.51"/>
    <s v="Card"/>
    <s v="Retail"/>
    <n v="11418.869999999995"/>
    <n v="0.21361498131712833"/>
    <m/>
  </r>
  <r>
    <s v="T1772"/>
    <x v="165"/>
    <x v="0"/>
    <x v="2"/>
    <s v="Chair"/>
    <x v="5"/>
    <n v="193954.19"/>
    <n v="150502.53"/>
    <s v="Cash"/>
    <s v="Corporate"/>
    <n v="43451.66"/>
    <n v="0.22403053009579221"/>
    <m/>
  </r>
  <r>
    <s v="T1773"/>
    <x v="169"/>
    <x v="0"/>
    <x v="0"/>
    <s v="Cabinet"/>
    <x v="5"/>
    <n v="299020.59999999998"/>
    <n v="210950.32"/>
    <s v="Cash"/>
    <s v="Corporate"/>
    <n v="88070.27999999997"/>
    <n v="0.29452913946396997"/>
    <m/>
  </r>
  <r>
    <s v="T1774"/>
    <x v="100"/>
    <x v="3"/>
    <x v="0"/>
    <s v="Phone"/>
    <x v="1"/>
    <n v="205735.67999999999"/>
    <n v="107455.82"/>
    <s v="Transfer"/>
    <s v="Corporate"/>
    <n v="98279.859999999986"/>
    <n v="0.47769963868202148"/>
    <m/>
  </r>
  <r>
    <s v="T1775"/>
    <x v="117"/>
    <x v="0"/>
    <x v="1"/>
    <s v="Chair"/>
    <x v="3"/>
    <n v="58225.72"/>
    <n v="49580.87"/>
    <s v="Cash"/>
    <s v="Retail"/>
    <n v="8644.8499999999985"/>
    <n v="0.14847132847820513"/>
    <m/>
  </r>
  <r>
    <s v="T1776"/>
    <x v="6"/>
    <x v="0"/>
    <x v="1"/>
    <s v="Phone"/>
    <x v="3"/>
    <n v="187625.06"/>
    <n v="164267.45000000001"/>
    <s v="Transfer"/>
    <s v="Corporate"/>
    <n v="23357.609999999986"/>
    <n v="0.12449088623875716"/>
    <m/>
  </r>
  <r>
    <s v="T1777"/>
    <x v="96"/>
    <x v="0"/>
    <x v="1"/>
    <s v="Desk"/>
    <x v="5"/>
    <n v="243059.29"/>
    <n v="172719.5"/>
    <s v="Card"/>
    <s v="Corporate"/>
    <n v="70339.790000000008"/>
    <n v="0.28939354673503737"/>
    <m/>
  </r>
  <r>
    <s v="T1778"/>
    <x v="95"/>
    <x v="4"/>
    <x v="0"/>
    <s v="Chair"/>
    <x v="2"/>
    <n v="173362.95"/>
    <n v="102747.7"/>
    <s v="Transfer"/>
    <s v="Retail"/>
    <n v="70615.250000000015"/>
    <n v="0.40732607515042868"/>
    <m/>
  </r>
  <r>
    <s v="T1779"/>
    <x v="11"/>
    <x v="0"/>
    <x v="2"/>
    <s v="Cabinet"/>
    <x v="5"/>
    <n v="387196.27"/>
    <n v="245384.79"/>
    <s v="Cash"/>
    <s v="Corporate"/>
    <n v="141811.48000000001"/>
    <n v="0.36625218522895381"/>
    <m/>
  </r>
  <r>
    <s v="T1780"/>
    <x v="58"/>
    <x v="0"/>
    <x v="0"/>
    <s v="Desk"/>
    <x v="1"/>
    <n v="151725.76999999999"/>
    <n v="101442.07"/>
    <s v="Cash"/>
    <s v="Corporate"/>
    <n v="50283.699999999983"/>
    <n v="0.33141173051881684"/>
    <m/>
  </r>
  <r>
    <s v="T1781"/>
    <x v="27"/>
    <x v="2"/>
    <x v="2"/>
    <s v="Desk"/>
    <x v="4"/>
    <n v="94852.44"/>
    <n v="43172.88"/>
    <s v="Cash"/>
    <s v="Retail"/>
    <n v="51679.560000000005"/>
    <n v="0.54484165088425773"/>
    <m/>
  </r>
  <r>
    <s v="T1782"/>
    <x v="159"/>
    <x v="4"/>
    <x v="0"/>
    <s v="Cabinet"/>
    <x v="3"/>
    <n v="243088.87"/>
    <n v="136033.60999999999"/>
    <s v="Cash"/>
    <s v="Retail"/>
    <n v="107055.26000000001"/>
    <n v="0.44039556397625285"/>
    <m/>
  </r>
  <r>
    <s v="T1783"/>
    <x v="139"/>
    <x v="0"/>
    <x v="2"/>
    <s v="Printer"/>
    <x v="4"/>
    <n v="290918.64"/>
    <n v="270452.96999999997"/>
    <s v="Card"/>
    <s v="Corporate"/>
    <n v="20465.670000000042"/>
    <n v="7.0348431437738196E-2"/>
    <m/>
  </r>
  <r>
    <s v="T1784"/>
    <x v="139"/>
    <x v="0"/>
    <x v="1"/>
    <s v="Chair"/>
    <x v="4"/>
    <n v="125191.2"/>
    <n v="68542.98"/>
    <s v="Transfer"/>
    <s v="Corporate"/>
    <n v="56648.22"/>
    <n v="0.45249362575005275"/>
    <m/>
  </r>
  <r>
    <s v="T1785"/>
    <x v="104"/>
    <x v="1"/>
    <x v="1"/>
    <s v="Phone"/>
    <x v="4"/>
    <n v="377339.01"/>
    <n v="176906.23"/>
    <s v="Card"/>
    <s v="Corporate"/>
    <n v="200432.78"/>
    <n v="0.53117428807586042"/>
    <m/>
  </r>
  <r>
    <s v="T1786"/>
    <x v="62"/>
    <x v="0"/>
    <x v="0"/>
    <s v="Desk"/>
    <x v="0"/>
    <n v="196838.45"/>
    <n v="170216.12"/>
    <s v="Cash"/>
    <s v="Retail"/>
    <n v="26622.330000000016"/>
    <n v="0.13524964253681135"/>
    <m/>
  </r>
  <r>
    <s v="T1787"/>
    <x v="92"/>
    <x v="0"/>
    <x v="1"/>
    <s v="Desk"/>
    <x v="5"/>
    <n v="182750.92"/>
    <n v="81233.86"/>
    <s v="Cash"/>
    <s v="Retail"/>
    <n v="101517.06000000001"/>
    <n v="0.55549411187642728"/>
    <m/>
  </r>
  <r>
    <s v="T1788"/>
    <x v="143"/>
    <x v="0"/>
    <x v="1"/>
    <s v="Phone"/>
    <x v="1"/>
    <n v="365794.45"/>
    <n v="307482.03000000003"/>
    <s v="Transfer"/>
    <s v="Retail"/>
    <n v="58312.419999999984"/>
    <n v="0.15941308021485831"/>
    <m/>
  </r>
  <r>
    <s v="T1789"/>
    <x v="61"/>
    <x v="0"/>
    <x v="1"/>
    <s v="Desk"/>
    <x v="2"/>
    <n v="359649.62"/>
    <n v="180384.19"/>
    <s v="Cash"/>
    <s v="Retail"/>
    <n v="179265.43"/>
    <n v="0.49844465288187983"/>
    <m/>
  </r>
  <r>
    <s v="T1790"/>
    <x v="172"/>
    <x v="4"/>
    <x v="0"/>
    <s v="Laptop"/>
    <x v="3"/>
    <n v="318212.87"/>
    <n v="232483.8"/>
    <s v="Card"/>
    <s v="Corporate"/>
    <n v="85729.07"/>
    <n v="0.26940792809542874"/>
    <m/>
  </r>
  <r>
    <s v="T1791"/>
    <x v="30"/>
    <x v="2"/>
    <x v="2"/>
    <s v="Printer"/>
    <x v="4"/>
    <n v="307601.98"/>
    <n v="168729.98"/>
    <s v="Cash"/>
    <s v="Retail"/>
    <n v="138871.99999999997"/>
    <n v="0.45146653477328064"/>
    <m/>
  </r>
  <r>
    <s v="T1792"/>
    <x v="77"/>
    <x v="2"/>
    <x v="0"/>
    <s v="Laptop"/>
    <x v="2"/>
    <n v="253332.01"/>
    <n v="227899.23"/>
    <s v="Card"/>
    <s v="Retail"/>
    <n v="25432.78"/>
    <n v="0.10039307705331039"/>
    <m/>
  </r>
  <r>
    <s v="T1793"/>
    <x v="90"/>
    <x v="4"/>
    <x v="2"/>
    <s v="Laptop"/>
    <x v="0"/>
    <n v="62710.01"/>
    <n v="39693.620000000003"/>
    <s v="Cash"/>
    <s v="Corporate"/>
    <n v="23016.39"/>
    <n v="0.367028963956472"/>
    <m/>
  </r>
  <r>
    <s v="T1794"/>
    <x v="21"/>
    <x v="0"/>
    <x v="1"/>
    <s v="Desk"/>
    <x v="3"/>
    <n v="310359.53000000003"/>
    <n v="264519.77"/>
    <s v="Transfer"/>
    <s v="Retail"/>
    <n v="45839.760000000009"/>
    <n v="0.14769889618018175"/>
    <m/>
  </r>
  <r>
    <s v="T1795"/>
    <x v="117"/>
    <x v="0"/>
    <x v="0"/>
    <s v="Desk"/>
    <x v="5"/>
    <n v="261442.16"/>
    <n v="172014.21"/>
    <s v="Cash"/>
    <s v="Corporate"/>
    <n v="89427.950000000012"/>
    <n v="0.34205634622969766"/>
    <m/>
  </r>
  <r>
    <s v="T1796"/>
    <x v="142"/>
    <x v="3"/>
    <x v="0"/>
    <s v="Laptop"/>
    <x v="4"/>
    <n v="306735.53000000003"/>
    <n v="251000.57"/>
    <s v="Card"/>
    <s v="Retail"/>
    <n v="55734.960000000021"/>
    <n v="0.18170363244192811"/>
    <m/>
  </r>
  <r>
    <s v="T1797"/>
    <x v="121"/>
    <x v="2"/>
    <x v="0"/>
    <s v="Desk"/>
    <x v="1"/>
    <n v="407354.98"/>
    <n v="316633.21999999997"/>
    <s v="Transfer"/>
    <s v="Corporate"/>
    <n v="90721.760000000009"/>
    <n v="0.22270934308941065"/>
    <m/>
  </r>
  <r>
    <s v="T1798"/>
    <x v="69"/>
    <x v="2"/>
    <x v="1"/>
    <s v="Desk"/>
    <x v="1"/>
    <n v="373265.62"/>
    <n v="212606.07"/>
    <s v="Card"/>
    <s v="Corporate"/>
    <n v="160659.54999999999"/>
    <n v="0.43041614708582054"/>
    <m/>
  </r>
  <r>
    <s v="T1799"/>
    <x v="54"/>
    <x v="2"/>
    <x v="2"/>
    <s v="Cabinet"/>
    <x v="0"/>
    <n v="127792.61"/>
    <n v="71991.88"/>
    <s v="Transfer"/>
    <s v="Retail"/>
    <n v="55800.729999999996"/>
    <n v="0.43665067956589976"/>
    <m/>
  </r>
  <r>
    <s v="T1800"/>
    <x v="94"/>
    <x v="2"/>
    <x v="1"/>
    <s v="Printer"/>
    <x v="3"/>
    <n v="158085.35999999999"/>
    <n v="112745.82"/>
    <s v="Cash"/>
    <s v="Corporate"/>
    <n v="45339.539999999979"/>
    <n v="0.28680416706518541"/>
    <m/>
  </r>
  <r>
    <s v="T1801"/>
    <x v="177"/>
    <x v="0"/>
    <x v="1"/>
    <s v="Chair"/>
    <x v="1"/>
    <n v="205244.96"/>
    <n v="86890.880000000005"/>
    <s v="Cash"/>
    <s v="Corporate"/>
    <n v="118354.07999999999"/>
    <n v="0.57664792353488237"/>
    <m/>
  </r>
  <r>
    <s v="T1802"/>
    <x v="78"/>
    <x v="0"/>
    <x v="0"/>
    <s v="Chair"/>
    <x v="3"/>
    <n v="275552.03999999998"/>
    <n v="260773.38"/>
    <s v="Cash"/>
    <s v="Retail"/>
    <n v="14778.659999999974"/>
    <n v="5.363291812319726E-2"/>
    <m/>
  </r>
  <r>
    <s v="T1803"/>
    <x v="8"/>
    <x v="2"/>
    <x v="2"/>
    <s v="Printer"/>
    <x v="0"/>
    <n v="182292.97"/>
    <n v="133910.21"/>
    <s v="Cash"/>
    <s v="Retail"/>
    <n v="48382.760000000009"/>
    <n v="0.26541210009360211"/>
    <m/>
  </r>
  <r>
    <s v="T1804"/>
    <x v="54"/>
    <x v="0"/>
    <x v="0"/>
    <s v="Laptop"/>
    <x v="5"/>
    <n v="194508.71"/>
    <n v="96345.16"/>
    <s v="Card"/>
    <s v="Corporate"/>
    <n v="98163.549999999988"/>
    <n v="0.50467431509879424"/>
    <m/>
  </r>
  <r>
    <s v="T1805"/>
    <x v="96"/>
    <x v="0"/>
    <x v="0"/>
    <s v="Phone"/>
    <x v="4"/>
    <n v="184165.71"/>
    <n v="100497.69"/>
    <s v="Card"/>
    <s v="Corporate"/>
    <n v="83668.01999999999"/>
    <n v="0.45430835088681815"/>
    <m/>
  </r>
  <r>
    <s v="T1806"/>
    <x v="144"/>
    <x v="0"/>
    <x v="0"/>
    <s v="Printer"/>
    <x v="0"/>
    <n v="362890.13"/>
    <n v="162867.13"/>
    <s v="Cash"/>
    <s v="Retail"/>
    <n v="200023"/>
    <n v="0.55119437941175198"/>
    <m/>
  </r>
  <r>
    <s v="T1807"/>
    <x v="88"/>
    <x v="0"/>
    <x v="1"/>
    <s v="Desk"/>
    <x v="4"/>
    <n v="183226.56"/>
    <n v="168862.39"/>
    <s v="Transfer"/>
    <s v="Retail"/>
    <n v="14364.169999999984"/>
    <n v="7.8395675823417652E-2"/>
    <m/>
  </r>
  <r>
    <s v="T1808"/>
    <x v="37"/>
    <x v="0"/>
    <x v="2"/>
    <s v="Chair"/>
    <x v="0"/>
    <n v="418795.63"/>
    <n v="260199.34"/>
    <s v="Card"/>
    <s v="Corporate"/>
    <n v="158596.29"/>
    <n v="0.37869614351038"/>
    <m/>
  </r>
  <r>
    <s v="T1809"/>
    <x v="78"/>
    <x v="1"/>
    <x v="0"/>
    <s v="Phone"/>
    <x v="5"/>
    <n v="137128.26"/>
    <n v="119675.84"/>
    <s v="Cash"/>
    <s v="Corporate"/>
    <n v="17452.420000000013"/>
    <n v="0.12727077554983934"/>
    <m/>
  </r>
  <r>
    <s v="T1810"/>
    <x v="44"/>
    <x v="1"/>
    <x v="2"/>
    <s v="Desk"/>
    <x v="1"/>
    <n v="381458.98"/>
    <n v="215739.9"/>
    <s v="Card"/>
    <s v="Corporate"/>
    <n v="165719.07999999999"/>
    <n v="0.43443486374340956"/>
    <m/>
  </r>
  <r>
    <s v="T1811"/>
    <x v="104"/>
    <x v="0"/>
    <x v="0"/>
    <s v="Printer"/>
    <x v="1"/>
    <n v="385711.18"/>
    <n v="311740.7"/>
    <s v="Transfer"/>
    <s v="Retail"/>
    <n v="73970.479999999981"/>
    <n v="0.19177686267740537"/>
    <m/>
  </r>
  <r>
    <s v="T1812"/>
    <x v="122"/>
    <x v="4"/>
    <x v="2"/>
    <s v="Chair"/>
    <x v="2"/>
    <n v="417097.24"/>
    <n v="325474.21999999997"/>
    <s v="Card"/>
    <s v="Retail"/>
    <n v="91623.020000000019"/>
    <n v="0.21966824810444688"/>
    <m/>
  </r>
  <r>
    <s v="T1813"/>
    <x v="122"/>
    <x v="2"/>
    <x v="2"/>
    <s v="Printer"/>
    <x v="1"/>
    <n v="474634.89"/>
    <n v="428950.36"/>
    <s v="Transfer"/>
    <s v="Retail"/>
    <n v="45684.530000000028"/>
    <n v="9.6251942203406132E-2"/>
    <m/>
  </r>
  <r>
    <s v="T1814"/>
    <x v="163"/>
    <x v="2"/>
    <x v="1"/>
    <s v="Printer"/>
    <x v="4"/>
    <n v="461716.14"/>
    <n v="334024.58"/>
    <s v="Cash"/>
    <s v="Corporate"/>
    <n v="127691.56"/>
    <n v="0.27655857991015864"/>
    <m/>
  </r>
  <r>
    <s v="T1815"/>
    <x v="162"/>
    <x v="3"/>
    <x v="0"/>
    <s v="Cabinet"/>
    <x v="5"/>
    <n v="296361.81"/>
    <n v="167023.46"/>
    <s v="Card"/>
    <s v="Retail"/>
    <n v="129338.35"/>
    <n v="0.43642043487317078"/>
    <m/>
  </r>
  <r>
    <s v="T1816"/>
    <x v="55"/>
    <x v="2"/>
    <x v="1"/>
    <s v="Phone"/>
    <x v="2"/>
    <n v="81635.759999999995"/>
    <n v="38342.93"/>
    <s v="Transfer"/>
    <s v="Corporate"/>
    <n v="43292.829999999994"/>
    <n v="0.53031698363560276"/>
    <m/>
  </r>
  <r>
    <s v="T1817"/>
    <x v="78"/>
    <x v="0"/>
    <x v="2"/>
    <s v="Printer"/>
    <x v="3"/>
    <n v="458147.42"/>
    <n v="396750.93"/>
    <s v="Cash"/>
    <s v="Corporate"/>
    <n v="61396.489999999991"/>
    <n v="0.1340103366728552"/>
    <m/>
  </r>
  <r>
    <s v="T1818"/>
    <x v="169"/>
    <x v="0"/>
    <x v="2"/>
    <s v="Printer"/>
    <x v="1"/>
    <n v="52309.56"/>
    <n v="25786.67"/>
    <s v="Cash"/>
    <s v="Corporate"/>
    <n v="26522.89"/>
    <n v="0.50703714579132386"/>
    <m/>
  </r>
  <r>
    <s v="T1819"/>
    <x v="77"/>
    <x v="3"/>
    <x v="0"/>
    <s v="Phone"/>
    <x v="3"/>
    <n v="372912.35"/>
    <n v="271042.34000000003"/>
    <s v="Transfer"/>
    <s v="Retail"/>
    <n v="101870.00999999995"/>
    <n v="0.27317413864142592"/>
    <m/>
  </r>
  <r>
    <s v="T1820"/>
    <x v="129"/>
    <x v="1"/>
    <x v="1"/>
    <s v="Phone"/>
    <x v="1"/>
    <n v="494339.61"/>
    <n v="198273.46"/>
    <s v="Card"/>
    <s v="Corporate"/>
    <n v="296066.15000000002"/>
    <n v="0.5989124561553949"/>
    <m/>
  </r>
  <r>
    <s v="T1821"/>
    <x v="101"/>
    <x v="0"/>
    <x v="0"/>
    <s v="Chair"/>
    <x v="4"/>
    <n v="135453.73000000001"/>
    <n v="110121.87"/>
    <s v="Transfer"/>
    <s v="Corporate"/>
    <n v="25331.860000000015"/>
    <n v="0.18701485739816845"/>
    <m/>
  </r>
  <r>
    <s v="T1822"/>
    <x v="166"/>
    <x v="1"/>
    <x v="0"/>
    <s v="Printer"/>
    <x v="3"/>
    <n v="476773.06"/>
    <n v="200071.69"/>
    <s v="Cash"/>
    <s v="Corporate"/>
    <n v="276701.37"/>
    <n v="0.58036284600476373"/>
    <m/>
  </r>
  <r>
    <s v="T1823"/>
    <x v="38"/>
    <x v="0"/>
    <x v="2"/>
    <s v="Desk"/>
    <x v="3"/>
    <n v="429014.35"/>
    <n v="317788.13"/>
    <s v="Transfer"/>
    <s v="Corporate"/>
    <n v="111226.21999999997"/>
    <n v="0.2592599058749433"/>
    <m/>
  </r>
  <r>
    <s v="T1824"/>
    <x v="9"/>
    <x v="0"/>
    <x v="2"/>
    <s v="Cabinet"/>
    <x v="2"/>
    <n v="220370.08"/>
    <n v="168268.55"/>
    <s v="Cash"/>
    <s v="Retail"/>
    <n v="52101.53"/>
    <n v="0.23642742245226758"/>
    <m/>
  </r>
  <r>
    <s v="T1825"/>
    <x v="25"/>
    <x v="4"/>
    <x v="0"/>
    <s v="Chair"/>
    <x v="0"/>
    <n v="242399.67"/>
    <n v="162746.49"/>
    <s v="Cash"/>
    <s v="Corporate"/>
    <n v="79653.180000000022"/>
    <n v="0.32860267507789931"/>
    <m/>
  </r>
  <r>
    <s v="T1826"/>
    <x v="62"/>
    <x v="1"/>
    <x v="1"/>
    <s v="Desk"/>
    <x v="5"/>
    <n v="410444.04"/>
    <n v="260434.54"/>
    <s v="Transfer"/>
    <s v="Corporate"/>
    <n v="150009.49999999997"/>
    <n v="0.36548100442632808"/>
    <m/>
  </r>
  <r>
    <s v="T1827"/>
    <x v="133"/>
    <x v="3"/>
    <x v="2"/>
    <s v="Printer"/>
    <x v="5"/>
    <n v="361666.51"/>
    <n v="187450.22"/>
    <s v="Cash"/>
    <s v="Corporate"/>
    <n v="174216.29"/>
    <n v="0.4817042363142775"/>
    <m/>
  </r>
  <r>
    <s v="T1828"/>
    <x v="19"/>
    <x v="1"/>
    <x v="1"/>
    <s v="Laptop"/>
    <x v="4"/>
    <n v="102974"/>
    <n v="59976.5"/>
    <s v="Card"/>
    <s v="Corporate"/>
    <n v="42997.5"/>
    <n v="0.41755685901295475"/>
    <m/>
  </r>
  <r>
    <s v="T1829"/>
    <x v="44"/>
    <x v="0"/>
    <x v="1"/>
    <s v="Desk"/>
    <x v="3"/>
    <n v="203258.81"/>
    <n v="159907.94"/>
    <s v="Transfer"/>
    <s v="Retail"/>
    <n v="43350.869999999995"/>
    <n v="0.2132791685634684"/>
    <m/>
  </r>
  <r>
    <s v="T1830"/>
    <x v="108"/>
    <x v="1"/>
    <x v="1"/>
    <s v="Laptop"/>
    <x v="2"/>
    <n v="52634.879999999997"/>
    <n v="45276.49"/>
    <s v="Cash"/>
    <s v="Retail"/>
    <n v="7358.3899999999994"/>
    <n v="0.13980064170375234"/>
    <m/>
  </r>
  <r>
    <s v="T1831"/>
    <x v="94"/>
    <x v="4"/>
    <x v="2"/>
    <s v="Desk"/>
    <x v="1"/>
    <n v="253933.05"/>
    <n v="101905.65"/>
    <s v="Cash"/>
    <s v="Corporate"/>
    <n v="152027.4"/>
    <n v="0.59869087540987675"/>
    <m/>
  </r>
  <r>
    <s v="T1832"/>
    <x v="32"/>
    <x v="0"/>
    <x v="1"/>
    <s v="Phone"/>
    <x v="4"/>
    <n v="343867.05"/>
    <n v="141526.51"/>
    <s v="Transfer"/>
    <s v="Corporate"/>
    <n v="202340.53999999998"/>
    <n v="0.58842666082720052"/>
    <m/>
  </r>
  <r>
    <s v="T1833"/>
    <x v="130"/>
    <x v="4"/>
    <x v="1"/>
    <s v="Phone"/>
    <x v="0"/>
    <n v="449347.03"/>
    <n v="399044.95"/>
    <s v="Transfer"/>
    <s v="Retail"/>
    <n v="50302.080000000016"/>
    <n v="0.11194483693371694"/>
    <m/>
  </r>
  <r>
    <s v="T1834"/>
    <x v="2"/>
    <x v="4"/>
    <x v="2"/>
    <s v="Phone"/>
    <x v="3"/>
    <n v="318987.28000000003"/>
    <n v="291411.14"/>
    <s v="Card"/>
    <s v="Retail"/>
    <n v="27576.140000000014"/>
    <n v="8.644902705838306E-2"/>
    <m/>
  </r>
  <r>
    <s v="T1835"/>
    <x v="177"/>
    <x v="4"/>
    <x v="0"/>
    <s v="Phone"/>
    <x v="3"/>
    <n v="308377.65000000002"/>
    <n v="289128.34000000003"/>
    <s v="Card"/>
    <s v="Retail"/>
    <n v="19249.309999999998"/>
    <n v="6.2421222809110832E-2"/>
    <m/>
  </r>
  <r>
    <s v="T1836"/>
    <x v="58"/>
    <x v="2"/>
    <x v="1"/>
    <s v="Phone"/>
    <x v="1"/>
    <n v="224801.11"/>
    <n v="204507.74"/>
    <s v="Cash"/>
    <s v="Retail"/>
    <n v="20293.369999999995"/>
    <n v="9.0272552479834275E-2"/>
    <m/>
  </r>
  <r>
    <s v="T1837"/>
    <x v="133"/>
    <x v="0"/>
    <x v="2"/>
    <s v="Printer"/>
    <x v="0"/>
    <n v="375440.73"/>
    <n v="343754.02"/>
    <s v="Card"/>
    <s v="Retail"/>
    <n v="31686.709999999963"/>
    <n v="8.439870122775428E-2"/>
    <m/>
  </r>
  <r>
    <s v="T1838"/>
    <x v="36"/>
    <x v="0"/>
    <x v="0"/>
    <s v="Chair"/>
    <x v="1"/>
    <n v="330008.24"/>
    <n v="284560.25"/>
    <s v="Card"/>
    <s v="Corporate"/>
    <n v="45447.989999999991"/>
    <n v="0.13771774304787054"/>
    <m/>
  </r>
  <r>
    <s v="T1839"/>
    <x v="142"/>
    <x v="1"/>
    <x v="1"/>
    <s v="Phone"/>
    <x v="5"/>
    <n v="404058.25"/>
    <n v="187755.99"/>
    <s v="Cash"/>
    <s v="Retail"/>
    <n v="216302.26"/>
    <n v="0.53532444888824815"/>
    <m/>
  </r>
  <r>
    <s v="T1840"/>
    <x v="162"/>
    <x v="3"/>
    <x v="1"/>
    <s v="Desk"/>
    <x v="0"/>
    <n v="344742.02"/>
    <n v="208222.57"/>
    <s v="Transfer"/>
    <s v="Retail"/>
    <n v="136519.45000000001"/>
    <n v="0.39600467039092013"/>
    <m/>
  </r>
  <r>
    <s v="T1841"/>
    <x v="113"/>
    <x v="2"/>
    <x v="0"/>
    <s v="Desk"/>
    <x v="3"/>
    <n v="291480.78000000003"/>
    <n v="219789.79"/>
    <s v="Card"/>
    <s v="Corporate"/>
    <n v="71690.99000000002"/>
    <n v="0.24595443308474751"/>
    <m/>
  </r>
  <r>
    <s v="T1842"/>
    <x v="141"/>
    <x v="0"/>
    <x v="2"/>
    <s v="Laptop"/>
    <x v="3"/>
    <n v="156077.68"/>
    <n v="121115.3"/>
    <s v="Cash"/>
    <s v="Corporate"/>
    <n v="34962.37999999999"/>
    <n v="0.22400627687443836"/>
    <m/>
  </r>
  <r>
    <s v="T1843"/>
    <x v="117"/>
    <x v="1"/>
    <x v="1"/>
    <s v="Phone"/>
    <x v="1"/>
    <n v="346210.33"/>
    <n v="202822"/>
    <s v="Transfer"/>
    <s v="Retail"/>
    <n v="143388.33000000002"/>
    <n v="0.41416537166871942"/>
    <m/>
  </r>
  <r>
    <s v="T1844"/>
    <x v="31"/>
    <x v="3"/>
    <x v="1"/>
    <s v="Phone"/>
    <x v="3"/>
    <n v="110016.08"/>
    <n v="59910.81"/>
    <s v="Cash"/>
    <s v="Corporate"/>
    <n v="50105.270000000004"/>
    <n v="0.45543587810072855"/>
    <m/>
  </r>
  <r>
    <s v="T1845"/>
    <x v="127"/>
    <x v="0"/>
    <x v="1"/>
    <s v="Desk"/>
    <x v="2"/>
    <n v="486449.02"/>
    <n v="235047.42"/>
    <s v="Card"/>
    <s v="Retail"/>
    <n v="251401.60000000001"/>
    <n v="0.51680975737190304"/>
    <m/>
  </r>
  <r>
    <s v="T1846"/>
    <x v="34"/>
    <x v="0"/>
    <x v="0"/>
    <s v="Cabinet"/>
    <x v="4"/>
    <n v="173708.32"/>
    <n v="137268.97"/>
    <s v="Card"/>
    <s v="Retail"/>
    <n v="36439.350000000006"/>
    <n v="0.20977319911907505"/>
    <m/>
  </r>
  <r>
    <s v="T1847"/>
    <x v="14"/>
    <x v="2"/>
    <x v="1"/>
    <s v="Laptop"/>
    <x v="3"/>
    <n v="86824.18"/>
    <n v="61833.35"/>
    <s v="Transfer"/>
    <s v="Retail"/>
    <n v="24990.829999999994"/>
    <n v="0.28783260607816852"/>
    <m/>
  </r>
  <r>
    <s v="T1848"/>
    <x v="152"/>
    <x v="0"/>
    <x v="2"/>
    <s v="Laptop"/>
    <x v="0"/>
    <n v="236687.89"/>
    <n v="169963.89"/>
    <s v="Transfer"/>
    <s v="Corporate"/>
    <n v="66724"/>
    <n v="0.28190711404795571"/>
    <m/>
  </r>
  <r>
    <s v="T1849"/>
    <x v="40"/>
    <x v="1"/>
    <x v="2"/>
    <s v="Printer"/>
    <x v="4"/>
    <n v="412149.01"/>
    <n v="177993.34"/>
    <s v="Transfer"/>
    <s v="Retail"/>
    <n v="234155.67"/>
    <n v="0.56813352529950278"/>
    <m/>
  </r>
  <r>
    <s v="T1850"/>
    <x v="161"/>
    <x v="1"/>
    <x v="0"/>
    <s v="Printer"/>
    <x v="3"/>
    <n v="117167.82"/>
    <n v="59967.01"/>
    <s v="Transfer"/>
    <s v="Corporate"/>
    <n v="57200.810000000005"/>
    <n v="0.4881955642769491"/>
    <m/>
  </r>
  <r>
    <s v="T1851"/>
    <x v="125"/>
    <x v="1"/>
    <x v="1"/>
    <s v="Printer"/>
    <x v="4"/>
    <n v="188137.13"/>
    <n v="156180.07"/>
    <s v="Transfer"/>
    <s v="Retail"/>
    <n v="31957.059999999998"/>
    <n v="0.16986046295061477"/>
    <m/>
  </r>
  <r>
    <s v="T1852"/>
    <x v="110"/>
    <x v="0"/>
    <x v="1"/>
    <s v="Phone"/>
    <x v="2"/>
    <n v="141121.22"/>
    <n v="65233.95"/>
    <s v="Card"/>
    <s v="Corporate"/>
    <n v="75887.27"/>
    <n v="0.53774528026330837"/>
    <m/>
  </r>
  <r>
    <s v="T1853"/>
    <x v="153"/>
    <x v="2"/>
    <x v="2"/>
    <s v="Printer"/>
    <x v="5"/>
    <n v="316365.27"/>
    <n v="182006.81"/>
    <s v="Card"/>
    <s v="Retail"/>
    <n v="134358.46000000002"/>
    <n v="0.42469408857678975"/>
    <m/>
  </r>
  <r>
    <s v="T1854"/>
    <x v="64"/>
    <x v="3"/>
    <x v="0"/>
    <s v="Desk"/>
    <x v="2"/>
    <n v="154511.57999999999"/>
    <n v="99091.43"/>
    <s v="Card"/>
    <s v="Retail"/>
    <n v="55420.149999999994"/>
    <n v="0.35867958893436985"/>
    <m/>
  </r>
  <r>
    <s v="T1855"/>
    <x v="18"/>
    <x v="4"/>
    <x v="0"/>
    <s v="Cabinet"/>
    <x v="3"/>
    <n v="56314.07"/>
    <n v="43097.32"/>
    <s v="Cash"/>
    <s v="Corporate"/>
    <n v="13216.75"/>
    <n v="0.23469711921017253"/>
    <m/>
  </r>
  <r>
    <s v="T1856"/>
    <x v="22"/>
    <x v="1"/>
    <x v="1"/>
    <s v="Phone"/>
    <x v="0"/>
    <n v="83814.3"/>
    <n v="58402.59"/>
    <s v="Cash"/>
    <s v="Retail"/>
    <n v="25411.710000000006"/>
    <n v="0.30319062498881461"/>
    <m/>
  </r>
  <r>
    <s v="T1857"/>
    <x v="39"/>
    <x v="1"/>
    <x v="2"/>
    <s v="Chair"/>
    <x v="0"/>
    <n v="70818.27"/>
    <n v="63959.75"/>
    <s v="Card"/>
    <s v="Retail"/>
    <n v="6858.5200000000041"/>
    <n v="9.6846760023931736E-2"/>
    <m/>
  </r>
  <r>
    <s v="T1858"/>
    <x v="171"/>
    <x v="1"/>
    <x v="2"/>
    <s v="Printer"/>
    <x v="4"/>
    <n v="381830"/>
    <n v="336144.09"/>
    <s v="Transfer"/>
    <s v="Retail"/>
    <n v="45685.909999999974"/>
    <n v="0.11964987036115542"/>
    <m/>
  </r>
  <r>
    <s v="T1859"/>
    <x v="56"/>
    <x v="1"/>
    <x v="1"/>
    <s v="Phone"/>
    <x v="1"/>
    <n v="328293.74"/>
    <n v="237669.2"/>
    <s v="Transfer"/>
    <s v="Corporate"/>
    <n v="90624.539999999979"/>
    <n v="0.2760471156105504"/>
    <m/>
  </r>
  <r>
    <s v="T1860"/>
    <x v="22"/>
    <x v="4"/>
    <x v="2"/>
    <s v="Printer"/>
    <x v="3"/>
    <n v="370621.36"/>
    <n v="346731.95"/>
    <s v="Card"/>
    <s v="Corporate"/>
    <n v="23889.409999999974"/>
    <n v="6.4457725804038857E-2"/>
    <m/>
  </r>
  <r>
    <s v="T1861"/>
    <x v="123"/>
    <x v="4"/>
    <x v="0"/>
    <s v="Cabinet"/>
    <x v="2"/>
    <n v="81715.360000000001"/>
    <n v="59354.77"/>
    <s v="Transfer"/>
    <s v="Corporate"/>
    <n v="22360.590000000004"/>
    <n v="0.2736399864113675"/>
    <m/>
  </r>
  <r>
    <s v="T1862"/>
    <x v="177"/>
    <x v="3"/>
    <x v="0"/>
    <s v="Cabinet"/>
    <x v="0"/>
    <n v="413689.94"/>
    <n v="361627.43"/>
    <s v="Cash"/>
    <s v="Retail"/>
    <n v="52062.510000000009"/>
    <n v="0.12584910815090164"/>
    <m/>
  </r>
  <r>
    <s v="T1863"/>
    <x v="137"/>
    <x v="0"/>
    <x v="0"/>
    <s v="Cabinet"/>
    <x v="1"/>
    <n v="143584.91"/>
    <n v="69885.67"/>
    <s v="Transfer"/>
    <s v="Retail"/>
    <n v="73699.240000000005"/>
    <n v="0.51327984256841475"/>
    <m/>
  </r>
  <r>
    <s v="T1864"/>
    <x v="23"/>
    <x v="0"/>
    <x v="0"/>
    <s v="Desk"/>
    <x v="5"/>
    <n v="96109.24"/>
    <n v="47632.67"/>
    <s v="Card"/>
    <s v="Corporate"/>
    <n v="48476.570000000007"/>
    <n v="0.50439031668547174"/>
    <m/>
  </r>
  <r>
    <s v="T1865"/>
    <x v="8"/>
    <x v="3"/>
    <x v="1"/>
    <s v="Phone"/>
    <x v="0"/>
    <n v="385568.02"/>
    <n v="192622"/>
    <s v="Cash"/>
    <s v="Retail"/>
    <n v="192946.02000000002"/>
    <n v="0.50042018526329024"/>
    <m/>
  </r>
  <r>
    <s v="T1866"/>
    <x v="51"/>
    <x v="0"/>
    <x v="0"/>
    <s v="Chair"/>
    <x v="4"/>
    <n v="308381.24"/>
    <n v="165434.32"/>
    <s v="Cash"/>
    <s v="Retail"/>
    <n v="142946.91999999998"/>
    <n v="0.46353961090499535"/>
    <m/>
  </r>
  <r>
    <s v="T1867"/>
    <x v="126"/>
    <x v="4"/>
    <x v="2"/>
    <s v="Chair"/>
    <x v="2"/>
    <n v="480883.33"/>
    <n v="227675.15"/>
    <s v="Card"/>
    <s v="Corporate"/>
    <n v="253208.18000000002"/>
    <n v="0.52654805064671306"/>
    <m/>
  </r>
  <r>
    <s v="T1868"/>
    <x v="119"/>
    <x v="0"/>
    <x v="0"/>
    <s v="Printer"/>
    <x v="1"/>
    <n v="131205.63"/>
    <n v="71990.37"/>
    <s v="Card"/>
    <s v="Corporate"/>
    <n v="59215.260000000009"/>
    <n v="0.45131645646608309"/>
    <m/>
  </r>
  <r>
    <s v="T1869"/>
    <x v="65"/>
    <x v="1"/>
    <x v="0"/>
    <s v="Desk"/>
    <x v="0"/>
    <n v="130524.14"/>
    <n v="60543.26"/>
    <s v="Transfer"/>
    <s v="Retail"/>
    <n v="69980.88"/>
    <n v="0.53615277603054889"/>
    <m/>
  </r>
  <r>
    <s v="T1870"/>
    <x v="128"/>
    <x v="0"/>
    <x v="2"/>
    <s v="Desk"/>
    <x v="0"/>
    <n v="321778.90000000002"/>
    <n v="207535.61"/>
    <s v="Card"/>
    <s v="Corporate"/>
    <n v="114243.29000000004"/>
    <n v="0.35503661054220781"/>
    <m/>
  </r>
  <r>
    <s v="T1871"/>
    <x v="168"/>
    <x v="0"/>
    <x v="1"/>
    <s v="Laptop"/>
    <x v="3"/>
    <n v="371242.76"/>
    <n v="223661.56"/>
    <s v="Cash"/>
    <s v="Corporate"/>
    <n v="147581.20000000001"/>
    <n v="0.39753287040533802"/>
    <m/>
  </r>
  <r>
    <s v="T1872"/>
    <x v="135"/>
    <x v="1"/>
    <x v="1"/>
    <s v="Printer"/>
    <x v="2"/>
    <n v="337041.17"/>
    <n v="302953.23"/>
    <s v="Transfer"/>
    <s v="Retail"/>
    <n v="34087.94"/>
    <n v="0.10113880152979532"/>
    <m/>
  </r>
  <r>
    <s v="T1873"/>
    <x v="108"/>
    <x v="0"/>
    <x v="2"/>
    <s v="Cabinet"/>
    <x v="5"/>
    <n v="232932.9"/>
    <n v="191637.78"/>
    <s v="Card"/>
    <s v="Corporate"/>
    <n v="41295.119999999995"/>
    <n v="0.17728332923344017"/>
    <m/>
  </r>
  <r>
    <s v="T1874"/>
    <x v="114"/>
    <x v="1"/>
    <x v="0"/>
    <s v="Chair"/>
    <x v="0"/>
    <n v="134476.01"/>
    <n v="118344.64"/>
    <s v="Cash"/>
    <s v="Corporate"/>
    <n v="16131.37000000001"/>
    <n v="0.11995723252050688"/>
    <m/>
  </r>
  <r>
    <s v="T1875"/>
    <x v="67"/>
    <x v="0"/>
    <x v="1"/>
    <s v="Printer"/>
    <x v="4"/>
    <n v="117294.33"/>
    <n v="61226.78"/>
    <s v="Card"/>
    <s v="Corporate"/>
    <n v="56067.55"/>
    <n v="0.47800733419935987"/>
    <m/>
  </r>
  <r>
    <s v="T1876"/>
    <x v="170"/>
    <x v="3"/>
    <x v="1"/>
    <s v="Desk"/>
    <x v="4"/>
    <n v="378496.62"/>
    <n v="214920.06"/>
    <s v="Cash"/>
    <s v="Corporate"/>
    <n v="163576.56"/>
    <n v="0.43217442734363121"/>
    <m/>
  </r>
  <r>
    <s v="T1877"/>
    <x v="155"/>
    <x v="2"/>
    <x v="1"/>
    <s v="Cabinet"/>
    <x v="1"/>
    <n v="344292.4"/>
    <n v="176871.58"/>
    <s v="Card"/>
    <s v="Retail"/>
    <n v="167420.82000000004"/>
    <n v="0.48627509640061767"/>
    <m/>
  </r>
  <r>
    <s v="T1878"/>
    <x v="161"/>
    <x v="0"/>
    <x v="2"/>
    <s v="Laptop"/>
    <x v="3"/>
    <n v="228679"/>
    <n v="99640.16"/>
    <s v="Card"/>
    <s v="Retail"/>
    <n v="129038.84"/>
    <n v="0.5642793610257173"/>
    <m/>
  </r>
  <r>
    <s v="T1879"/>
    <x v="80"/>
    <x v="3"/>
    <x v="1"/>
    <s v="Cabinet"/>
    <x v="3"/>
    <n v="234340.68"/>
    <n v="128650.79"/>
    <s v="Transfer"/>
    <s v="Retail"/>
    <n v="105689.89"/>
    <n v="0.45100957290044563"/>
    <m/>
  </r>
  <r>
    <s v="T1880"/>
    <x v="67"/>
    <x v="0"/>
    <x v="1"/>
    <s v="Cabinet"/>
    <x v="4"/>
    <n v="66428.69"/>
    <n v="37755.74"/>
    <s v="Card"/>
    <s v="Corporate"/>
    <n v="28672.950000000004"/>
    <n v="0.43163503600627989"/>
    <m/>
  </r>
  <r>
    <s v="T1881"/>
    <x v="136"/>
    <x v="1"/>
    <x v="2"/>
    <s v="Desk"/>
    <x v="3"/>
    <n v="80243.7"/>
    <n v="64004.52"/>
    <s v="Card"/>
    <s v="Retail"/>
    <n v="16239.18"/>
    <n v="0.20237327042496794"/>
    <m/>
  </r>
  <r>
    <s v="T1882"/>
    <x v="65"/>
    <x v="0"/>
    <x v="2"/>
    <s v="Cabinet"/>
    <x v="2"/>
    <n v="163235.89000000001"/>
    <n v="139166.96"/>
    <s v="Cash"/>
    <s v="Corporate"/>
    <n v="24068.930000000022"/>
    <n v="0.147448762646499"/>
    <m/>
  </r>
  <r>
    <s v="T1883"/>
    <x v="142"/>
    <x v="4"/>
    <x v="0"/>
    <s v="Desk"/>
    <x v="4"/>
    <n v="426955.53"/>
    <n v="258808.95999999999"/>
    <s v="Card"/>
    <s v="Retail"/>
    <n v="168146.57000000004"/>
    <n v="0.39382689340035021"/>
    <m/>
  </r>
  <r>
    <s v="T1884"/>
    <x v="17"/>
    <x v="3"/>
    <x v="1"/>
    <s v="Printer"/>
    <x v="3"/>
    <n v="85429.06"/>
    <n v="72714.25"/>
    <s v="Transfer"/>
    <s v="Retail"/>
    <n v="12714.809999999998"/>
    <n v="0.14883471736666654"/>
    <m/>
  </r>
  <r>
    <s v="T1885"/>
    <x v="97"/>
    <x v="1"/>
    <x v="2"/>
    <s v="Desk"/>
    <x v="5"/>
    <n v="418915.46"/>
    <n v="379445.53"/>
    <s v="Cash"/>
    <s v="Corporate"/>
    <n v="39469.929999999993"/>
    <n v="9.4219320528299413E-2"/>
    <m/>
  </r>
  <r>
    <s v="T1886"/>
    <x v="34"/>
    <x v="1"/>
    <x v="2"/>
    <s v="Cabinet"/>
    <x v="4"/>
    <n v="209041.82"/>
    <n v="169683.08"/>
    <s v="Card"/>
    <s v="Corporate"/>
    <n v="39358.74000000002"/>
    <n v="0.18828165579499842"/>
    <m/>
  </r>
  <r>
    <s v="T1887"/>
    <x v="83"/>
    <x v="0"/>
    <x v="1"/>
    <s v="Laptop"/>
    <x v="5"/>
    <n v="115733.77"/>
    <n v="63360.1"/>
    <s v="Cash"/>
    <s v="Retail"/>
    <n v="52373.670000000006"/>
    <n v="0.45253576376195126"/>
    <m/>
  </r>
  <r>
    <s v="T1888"/>
    <x v="33"/>
    <x v="0"/>
    <x v="2"/>
    <s v="Printer"/>
    <x v="0"/>
    <n v="186367.94"/>
    <n v="84943.59"/>
    <s v="Card"/>
    <s v="Retail"/>
    <n v="101424.35"/>
    <n v="0.54421565211269707"/>
    <m/>
  </r>
  <r>
    <s v="T1889"/>
    <x v="27"/>
    <x v="0"/>
    <x v="0"/>
    <s v="Phone"/>
    <x v="3"/>
    <n v="193319.67999999999"/>
    <n v="94871.63"/>
    <s v="Cash"/>
    <s v="Corporate"/>
    <n v="98448.049999999988"/>
    <n v="0.50925001531142611"/>
    <m/>
  </r>
  <r>
    <s v="T1890"/>
    <x v="169"/>
    <x v="0"/>
    <x v="1"/>
    <s v="Laptop"/>
    <x v="5"/>
    <n v="94197.64"/>
    <n v="88292.95"/>
    <s v="Transfer"/>
    <s v="Corporate"/>
    <n v="5904.6900000000023"/>
    <n v="6.2684054504974884E-2"/>
    <m/>
  </r>
  <r>
    <s v="T1891"/>
    <x v="127"/>
    <x v="0"/>
    <x v="1"/>
    <s v="Chair"/>
    <x v="4"/>
    <n v="381185.66"/>
    <n v="207117.2"/>
    <s v="Card"/>
    <s v="Retail"/>
    <n v="174068.45999999996"/>
    <n v="0.45665007440206429"/>
    <m/>
  </r>
  <r>
    <s v="T1892"/>
    <x v="71"/>
    <x v="0"/>
    <x v="2"/>
    <s v="Desk"/>
    <x v="4"/>
    <n v="267926"/>
    <n v="120744"/>
    <s v="Transfer"/>
    <s v="Corporate"/>
    <n v="147182"/>
    <n v="0.54933825011383741"/>
    <m/>
  </r>
  <r>
    <s v="T1893"/>
    <x v="52"/>
    <x v="0"/>
    <x v="1"/>
    <s v="Laptop"/>
    <x v="1"/>
    <n v="369195.91"/>
    <n v="216363.33"/>
    <s v="Card"/>
    <s v="Retail"/>
    <n v="152832.57999999999"/>
    <n v="0.4139606530310696"/>
    <m/>
  </r>
  <r>
    <s v="T1894"/>
    <x v="131"/>
    <x v="4"/>
    <x v="1"/>
    <s v="Phone"/>
    <x v="4"/>
    <n v="182479.67"/>
    <n v="122558.04"/>
    <s v="Card"/>
    <s v="Retail"/>
    <n v="59921.630000000019"/>
    <n v="0.32837427862512036"/>
    <m/>
  </r>
  <r>
    <s v="T1895"/>
    <x v="130"/>
    <x v="3"/>
    <x v="2"/>
    <s v="Phone"/>
    <x v="2"/>
    <n v="106525.14"/>
    <n v="69178.460000000006"/>
    <s v="Cash"/>
    <s v="Corporate"/>
    <n v="37346.679999999993"/>
    <n v="0.35059029258257718"/>
    <m/>
  </r>
  <r>
    <s v="T1896"/>
    <x v="58"/>
    <x v="4"/>
    <x v="1"/>
    <s v="Printer"/>
    <x v="1"/>
    <n v="346928.08"/>
    <n v="308194.07"/>
    <s v="Transfer"/>
    <s v="Retail"/>
    <n v="38734.010000000009"/>
    <n v="0.1116485295741988"/>
    <m/>
  </r>
  <r>
    <s v="T1897"/>
    <x v="147"/>
    <x v="2"/>
    <x v="2"/>
    <s v="Laptop"/>
    <x v="5"/>
    <n v="404204.26"/>
    <n v="217579.83"/>
    <s v="Cash"/>
    <s v="Retail"/>
    <n v="186624.43000000002"/>
    <n v="0.46170822148188151"/>
    <m/>
  </r>
  <r>
    <s v="T1898"/>
    <x v="170"/>
    <x v="2"/>
    <x v="0"/>
    <s v="Cabinet"/>
    <x v="4"/>
    <n v="233516.42"/>
    <n v="141580.84"/>
    <s v="Cash"/>
    <s v="Corporate"/>
    <n v="91935.580000000016"/>
    <n v="0.39370070849835748"/>
    <m/>
  </r>
  <r>
    <s v="T1899"/>
    <x v="171"/>
    <x v="0"/>
    <x v="1"/>
    <s v="Laptop"/>
    <x v="3"/>
    <n v="202640.32"/>
    <n v="188303.89"/>
    <s v="Card"/>
    <s v="Retail"/>
    <n v="14336.429999999993"/>
    <n v="7.0748161076729418E-2"/>
    <m/>
  </r>
  <r>
    <s v="T1900"/>
    <x v="82"/>
    <x v="0"/>
    <x v="1"/>
    <s v="Printer"/>
    <x v="4"/>
    <n v="92863.58"/>
    <n v="73785.02"/>
    <s v="Transfer"/>
    <s v="Corporate"/>
    <n v="19078.559999999998"/>
    <n v="0.20544717315442715"/>
    <m/>
  </r>
  <r>
    <s v="T1901"/>
    <x v="109"/>
    <x v="0"/>
    <x v="1"/>
    <s v="Printer"/>
    <x v="1"/>
    <n v="215417.17"/>
    <n v="122766.27"/>
    <s v="Cash"/>
    <s v="Retail"/>
    <n v="92650.900000000009"/>
    <n v="0.43009988479562705"/>
    <m/>
  </r>
  <r>
    <s v="T1902"/>
    <x v="160"/>
    <x v="1"/>
    <x v="2"/>
    <s v="Chair"/>
    <x v="3"/>
    <n v="55381.43"/>
    <n v="29978.52"/>
    <s v="Card"/>
    <s v="Retail"/>
    <n v="25402.91"/>
    <n v="0.45869003382541768"/>
    <m/>
  </r>
  <r>
    <s v="T1903"/>
    <x v="167"/>
    <x v="4"/>
    <x v="2"/>
    <s v="Chair"/>
    <x v="1"/>
    <n v="341677.83"/>
    <n v="313253.83"/>
    <s v="Card"/>
    <s v="Corporate"/>
    <n v="28424"/>
    <n v="8.3189477057964215E-2"/>
    <m/>
  </r>
  <r>
    <s v="T1904"/>
    <x v="125"/>
    <x v="3"/>
    <x v="1"/>
    <s v="Cabinet"/>
    <x v="5"/>
    <n v="241362.13"/>
    <n v="175167.11"/>
    <s v="Transfer"/>
    <s v="Corporate"/>
    <n v="66195.020000000019"/>
    <n v="0.27425603179753183"/>
    <m/>
  </r>
  <r>
    <s v="T1905"/>
    <x v="47"/>
    <x v="2"/>
    <x v="1"/>
    <s v="Laptop"/>
    <x v="4"/>
    <n v="418917.43"/>
    <n v="243350.8"/>
    <s v="Card"/>
    <s v="Corporate"/>
    <n v="175566.63"/>
    <n v="0.41909602567742288"/>
    <m/>
  </r>
  <r>
    <s v="T1906"/>
    <x v="127"/>
    <x v="0"/>
    <x v="2"/>
    <s v="Printer"/>
    <x v="4"/>
    <n v="230069.67"/>
    <n v="183689.84"/>
    <s v="Card"/>
    <s v="Retail"/>
    <n v="46379.830000000016"/>
    <n v="0.20159037042996591"/>
    <m/>
  </r>
  <r>
    <s v="T1907"/>
    <x v="61"/>
    <x v="4"/>
    <x v="1"/>
    <s v="Phone"/>
    <x v="1"/>
    <n v="98159.42"/>
    <n v="61058.93"/>
    <s v="Card"/>
    <s v="Retail"/>
    <n v="37100.49"/>
    <n v="0.37796158534759067"/>
    <m/>
  </r>
  <r>
    <s v="T1908"/>
    <x v="26"/>
    <x v="1"/>
    <x v="0"/>
    <s v="Chair"/>
    <x v="1"/>
    <n v="88323.07"/>
    <n v="74842.77"/>
    <s v="Card"/>
    <s v="Retail"/>
    <n v="13480.300000000003"/>
    <n v="0.15262490309723159"/>
    <m/>
  </r>
  <r>
    <s v="T1909"/>
    <x v="40"/>
    <x v="2"/>
    <x v="2"/>
    <s v="Phone"/>
    <x v="3"/>
    <n v="447613.08"/>
    <n v="404632.93"/>
    <s v="Cash"/>
    <s v="Corporate"/>
    <n v="42980.150000000023"/>
    <n v="9.6020764183209345E-2"/>
    <m/>
  </r>
  <r>
    <s v="T1910"/>
    <x v="57"/>
    <x v="0"/>
    <x v="0"/>
    <s v="Printer"/>
    <x v="0"/>
    <n v="100445.72"/>
    <n v="89620.36"/>
    <s v="Transfer"/>
    <s v="Corporate"/>
    <n v="10825.36"/>
    <n v="0.10777323314522511"/>
    <m/>
  </r>
  <r>
    <s v="T1911"/>
    <x v="128"/>
    <x v="2"/>
    <x v="2"/>
    <s v="Phone"/>
    <x v="4"/>
    <n v="198165.12"/>
    <n v="177111.62"/>
    <s v="Cash"/>
    <s v="Retail"/>
    <n v="21053.5"/>
    <n v="0.10624220851782594"/>
    <m/>
  </r>
  <r>
    <s v="T1912"/>
    <x v="75"/>
    <x v="0"/>
    <x v="0"/>
    <s v="Phone"/>
    <x v="3"/>
    <n v="242380.63"/>
    <n v="129617.75"/>
    <s v="Transfer"/>
    <s v="Retail"/>
    <n v="112762.88"/>
    <n v="0.46523057556208186"/>
    <m/>
  </r>
  <r>
    <s v="T1913"/>
    <x v="105"/>
    <x v="0"/>
    <x v="2"/>
    <s v="Printer"/>
    <x v="2"/>
    <n v="92389.02"/>
    <n v="46625.18"/>
    <s v="Card"/>
    <s v="Corporate"/>
    <n v="45763.840000000004"/>
    <n v="0.49533851533439799"/>
    <m/>
  </r>
  <r>
    <s v="T1914"/>
    <x v="136"/>
    <x v="0"/>
    <x v="1"/>
    <s v="Cabinet"/>
    <x v="2"/>
    <n v="172775.81"/>
    <n v="118659.94"/>
    <s v="Cash"/>
    <s v="Retail"/>
    <n v="54115.869999999995"/>
    <n v="0.31321439037096682"/>
    <m/>
  </r>
  <r>
    <s v="T1915"/>
    <x v="84"/>
    <x v="2"/>
    <x v="0"/>
    <s v="Chair"/>
    <x v="2"/>
    <n v="225301.95"/>
    <n v="98677.19"/>
    <s v="Transfer"/>
    <s v="Retail"/>
    <n v="126624.76000000001"/>
    <n v="0.56202247694704821"/>
    <m/>
  </r>
  <r>
    <s v="T1916"/>
    <x v="161"/>
    <x v="2"/>
    <x v="0"/>
    <s v="Printer"/>
    <x v="4"/>
    <n v="169599.3"/>
    <n v="125961.16"/>
    <s v="Cash"/>
    <s v="Corporate"/>
    <n v="43638.139999999985"/>
    <n v="0.25730141574876775"/>
    <m/>
  </r>
  <r>
    <s v="T1917"/>
    <x v="153"/>
    <x v="1"/>
    <x v="1"/>
    <s v="Chair"/>
    <x v="0"/>
    <n v="449982.22"/>
    <n v="219560.63"/>
    <s v="Cash"/>
    <s v="Retail"/>
    <n v="230421.58999999997"/>
    <n v="0.51206821016172588"/>
    <m/>
  </r>
  <r>
    <s v="T1918"/>
    <x v="88"/>
    <x v="3"/>
    <x v="0"/>
    <s v="Desk"/>
    <x v="5"/>
    <n v="490314.4"/>
    <n v="353621.94"/>
    <s v="Cash"/>
    <s v="Retail"/>
    <n v="136692.46000000002"/>
    <n v="0.2787853263130759"/>
    <m/>
  </r>
  <r>
    <s v="T1919"/>
    <x v="32"/>
    <x v="2"/>
    <x v="1"/>
    <s v="Cabinet"/>
    <x v="4"/>
    <n v="330078.25"/>
    <n v="165875.07"/>
    <s v="Cash"/>
    <s v="Retail"/>
    <n v="164203.18"/>
    <n v="0.49746743385848657"/>
    <m/>
  </r>
  <r>
    <s v="T1920"/>
    <x v="6"/>
    <x v="0"/>
    <x v="1"/>
    <s v="Laptop"/>
    <x v="0"/>
    <n v="77166.94"/>
    <n v="56912.05"/>
    <s v="Card"/>
    <s v="Corporate"/>
    <n v="20254.89"/>
    <n v="0.26248144607003981"/>
    <m/>
  </r>
  <r>
    <s v="T1921"/>
    <x v="44"/>
    <x v="4"/>
    <x v="1"/>
    <s v="Cabinet"/>
    <x v="3"/>
    <n v="135469.19"/>
    <n v="97888.02"/>
    <s v="Transfer"/>
    <s v="Retail"/>
    <n v="37581.17"/>
    <n v="0.27741488673550052"/>
    <m/>
  </r>
  <r>
    <s v="T1922"/>
    <x v="55"/>
    <x v="1"/>
    <x v="1"/>
    <s v="Printer"/>
    <x v="3"/>
    <n v="317164.58"/>
    <n v="140902.07999999999"/>
    <s v="Cash"/>
    <s v="Retail"/>
    <n v="176262.50000000003"/>
    <n v="0.55574459165648327"/>
    <m/>
  </r>
  <r>
    <s v="T1923"/>
    <x v="37"/>
    <x v="2"/>
    <x v="0"/>
    <s v="Cabinet"/>
    <x v="2"/>
    <n v="451794.41"/>
    <n v="189026.72"/>
    <s v="Transfer"/>
    <s v="Retail"/>
    <n v="262767.68999999994"/>
    <n v="0.58160898892042501"/>
    <m/>
  </r>
  <r>
    <s v="T1924"/>
    <x v="33"/>
    <x v="4"/>
    <x v="2"/>
    <s v="Printer"/>
    <x v="3"/>
    <n v="472596.67"/>
    <n v="341951.83"/>
    <s v="Cash"/>
    <s v="Retail"/>
    <n v="130644.83999999997"/>
    <n v="0.27644045820297458"/>
    <m/>
  </r>
  <r>
    <s v="T1925"/>
    <x v="43"/>
    <x v="0"/>
    <x v="0"/>
    <s v="Cabinet"/>
    <x v="1"/>
    <n v="271782.71999999997"/>
    <n v="168812.97"/>
    <s v="Cash"/>
    <s v="Retail"/>
    <n v="102969.74999999997"/>
    <n v="0.37886790595075354"/>
    <m/>
  </r>
  <r>
    <s v="T1926"/>
    <x v="32"/>
    <x v="3"/>
    <x v="2"/>
    <s v="Phone"/>
    <x v="2"/>
    <n v="142212.48000000001"/>
    <n v="111995.48"/>
    <s v="Cash"/>
    <s v="Corporate"/>
    <n v="30217.000000000015"/>
    <n v="0.21247783598176484"/>
    <m/>
  </r>
  <r>
    <s v="T1927"/>
    <x v="21"/>
    <x v="0"/>
    <x v="1"/>
    <s v="Cabinet"/>
    <x v="5"/>
    <n v="337754.85"/>
    <n v="232321.58"/>
    <s v="Card"/>
    <s v="Retail"/>
    <n v="105433.26999999999"/>
    <n v="0.31215915922450854"/>
    <m/>
  </r>
  <r>
    <s v="T1928"/>
    <x v="56"/>
    <x v="0"/>
    <x v="2"/>
    <s v="Desk"/>
    <x v="0"/>
    <n v="469618.03"/>
    <n v="230109.28"/>
    <s v="Cash"/>
    <s v="Corporate"/>
    <n v="239508.75000000003"/>
    <n v="0.51000756934311064"/>
    <m/>
  </r>
  <r>
    <s v="T1929"/>
    <x v="37"/>
    <x v="1"/>
    <x v="0"/>
    <s v="Laptop"/>
    <x v="3"/>
    <n v="211299.04"/>
    <n v="154359.25"/>
    <s v="Transfer"/>
    <s v="Retail"/>
    <n v="56939.790000000008"/>
    <n v="0.26947491100764115"/>
    <m/>
  </r>
  <r>
    <s v="T1930"/>
    <x v="35"/>
    <x v="0"/>
    <x v="0"/>
    <s v="Cabinet"/>
    <x v="3"/>
    <n v="53497.2"/>
    <n v="29127.98"/>
    <s v="Transfer"/>
    <s v="Retail"/>
    <n v="24369.219999999998"/>
    <n v="0.4555232797230509"/>
    <m/>
  </r>
  <r>
    <s v="T1931"/>
    <x v="178"/>
    <x v="0"/>
    <x v="2"/>
    <s v="Printer"/>
    <x v="2"/>
    <n v="375861.47"/>
    <n v="174755.5"/>
    <s v="Transfer"/>
    <s v="Corporate"/>
    <n v="201105.96999999997"/>
    <n v="0.53505343338331535"/>
    <m/>
  </r>
  <r>
    <s v="T1932"/>
    <x v="127"/>
    <x v="3"/>
    <x v="2"/>
    <s v="Cabinet"/>
    <x v="5"/>
    <n v="346184.57"/>
    <n v="309992.78999999998"/>
    <s v="Transfer"/>
    <s v="Corporate"/>
    <n v="36191.780000000028"/>
    <n v="0.10454475195124967"/>
    <m/>
  </r>
  <r>
    <s v="T1933"/>
    <x v="87"/>
    <x v="1"/>
    <x v="1"/>
    <s v="Chair"/>
    <x v="4"/>
    <n v="95770.08"/>
    <n v="50497.9"/>
    <s v="Transfer"/>
    <s v="Corporate"/>
    <n v="45272.18"/>
    <n v="0.47271736642592344"/>
    <m/>
  </r>
  <r>
    <s v="T1934"/>
    <x v="90"/>
    <x v="0"/>
    <x v="1"/>
    <s v="Chair"/>
    <x v="5"/>
    <n v="290143.12"/>
    <n v="135235.76"/>
    <s v="Transfer"/>
    <s v="Retail"/>
    <n v="154907.35999999999"/>
    <n v="0.53389982157770965"/>
    <m/>
  </r>
  <r>
    <s v="T1935"/>
    <x v="23"/>
    <x v="1"/>
    <x v="0"/>
    <s v="Phone"/>
    <x v="4"/>
    <n v="211479.81"/>
    <n v="139481.39000000001"/>
    <s v="Cash"/>
    <s v="Retail"/>
    <n v="71998.419999999984"/>
    <n v="0.34045056121433048"/>
    <m/>
  </r>
  <r>
    <s v="T1936"/>
    <x v="76"/>
    <x v="0"/>
    <x v="1"/>
    <s v="Phone"/>
    <x v="1"/>
    <n v="252922.1"/>
    <n v="105450.7"/>
    <s v="Transfer"/>
    <s v="Corporate"/>
    <n v="147471.40000000002"/>
    <n v="0.58307043947523773"/>
    <m/>
  </r>
  <r>
    <s v="T1937"/>
    <x v="14"/>
    <x v="0"/>
    <x v="0"/>
    <s v="Cabinet"/>
    <x v="5"/>
    <n v="153264"/>
    <n v="64258.83"/>
    <s v="Card"/>
    <s v="Retail"/>
    <n v="89005.17"/>
    <n v="0.58073109145004698"/>
    <m/>
  </r>
  <r>
    <s v="T1938"/>
    <x v="112"/>
    <x v="3"/>
    <x v="2"/>
    <s v="Printer"/>
    <x v="2"/>
    <n v="456475.18"/>
    <n v="320323.67"/>
    <s v="Transfer"/>
    <s v="Retail"/>
    <n v="136151.51"/>
    <n v="0.29826706021562882"/>
    <m/>
  </r>
  <r>
    <s v="T1939"/>
    <x v="82"/>
    <x v="3"/>
    <x v="1"/>
    <s v="Phone"/>
    <x v="5"/>
    <n v="369924.41"/>
    <n v="278356.52"/>
    <s v="Transfer"/>
    <s v="Retail"/>
    <n v="91567.889999999956"/>
    <n v="0.24753135377035532"/>
    <m/>
  </r>
  <r>
    <s v="T1940"/>
    <x v="1"/>
    <x v="3"/>
    <x v="1"/>
    <s v="Desk"/>
    <x v="1"/>
    <n v="301655.77"/>
    <n v="191353.93"/>
    <s v="Transfer"/>
    <s v="Corporate"/>
    <n v="110301.84000000003"/>
    <n v="0.3656546665757463"/>
    <m/>
  </r>
  <r>
    <s v="T1941"/>
    <x v="42"/>
    <x v="3"/>
    <x v="0"/>
    <s v="Desk"/>
    <x v="1"/>
    <n v="377174.13"/>
    <n v="341255.85"/>
    <s v="Transfer"/>
    <s v="Retail"/>
    <n v="35918.280000000028"/>
    <n v="9.5229967124203424E-2"/>
    <m/>
  </r>
  <r>
    <s v="T1942"/>
    <x v="33"/>
    <x v="0"/>
    <x v="0"/>
    <s v="Phone"/>
    <x v="3"/>
    <n v="493594.58"/>
    <n v="288612.93"/>
    <s v="Cash"/>
    <s v="Retail"/>
    <n v="204981.65000000002"/>
    <n v="0.41528342957088388"/>
    <m/>
  </r>
  <r>
    <s v="T1943"/>
    <x v="178"/>
    <x v="1"/>
    <x v="1"/>
    <s v="Printer"/>
    <x v="3"/>
    <n v="109874.4"/>
    <n v="73252.33"/>
    <s v="Transfer"/>
    <s v="Corporate"/>
    <n v="36622.069999999992"/>
    <n v="0.33330848678127017"/>
    <m/>
  </r>
  <r>
    <s v="T1944"/>
    <x v="109"/>
    <x v="2"/>
    <x v="0"/>
    <s v="Desk"/>
    <x v="5"/>
    <n v="421006.36"/>
    <n v="176309.13"/>
    <s v="Cash"/>
    <s v="Corporate"/>
    <n v="244697.22999999998"/>
    <n v="0.58121979439930549"/>
    <m/>
  </r>
  <r>
    <s v="T1945"/>
    <x v="99"/>
    <x v="2"/>
    <x v="1"/>
    <s v="Phone"/>
    <x v="5"/>
    <n v="471099.89"/>
    <n v="298839.78999999998"/>
    <s v="Cash"/>
    <s v="Retail"/>
    <n v="172260.10000000003"/>
    <n v="0.36565514799844262"/>
    <m/>
  </r>
  <r>
    <s v="T1946"/>
    <x v="148"/>
    <x v="3"/>
    <x v="0"/>
    <s v="Chair"/>
    <x v="1"/>
    <n v="400417.01"/>
    <n v="340511.55"/>
    <s v="Card"/>
    <s v="Corporate"/>
    <n v="59905.460000000021"/>
    <n v="0.14960768025314414"/>
    <m/>
  </r>
  <r>
    <s v="T1947"/>
    <x v="42"/>
    <x v="2"/>
    <x v="0"/>
    <s v="Phone"/>
    <x v="4"/>
    <n v="362559.05"/>
    <n v="195664.24"/>
    <s v="Cash"/>
    <s v="Retail"/>
    <n v="166894.81"/>
    <n v="0.46032449058987773"/>
    <m/>
  </r>
  <r>
    <s v="T1948"/>
    <x v="41"/>
    <x v="0"/>
    <x v="0"/>
    <s v="Cabinet"/>
    <x v="4"/>
    <n v="434984.69"/>
    <n v="324830.65000000002"/>
    <s v="Transfer"/>
    <s v="Corporate"/>
    <n v="110154.03999999998"/>
    <n v="0.25323659092461387"/>
    <m/>
  </r>
  <r>
    <s v="T1949"/>
    <x v="174"/>
    <x v="3"/>
    <x v="1"/>
    <s v="Laptop"/>
    <x v="1"/>
    <n v="246317.25"/>
    <n v="162893.42000000001"/>
    <s v="Card"/>
    <s v="Corporate"/>
    <n v="83423.829999999987"/>
    <n v="0.33868448109095073"/>
    <m/>
  </r>
  <r>
    <s v="T1950"/>
    <x v="128"/>
    <x v="1"/>
    <x v="0"/>
    <s v="Desk"/>
    <x v="2"/>
    <n v="318111.92"/>
    <n v="281003.48"/>
    <s v="Cash"/>
    <s v="Retail"/>
    <n v="37108.44"/>
    <n v="0.11665215185900611"/>
    <m/>
  </r>
  <r>
    <s v="T1951"/>
    <x v="45"/>
    <x v="0"/>
    <x v="0"/>
    <s v="Cabinet"/>
    <x v="3"/>
    <n v="470403.31"/>
    <n v="279458.96999999997"/>
    <s v="Card"/>
    <s v="Corporate"/>
    <n v="190944.34000000003"/>
    <n v="0.40591623388024212"/>
    <m/>
  </r>
  <r>
    <s v="T1952"/>
    <x v="166"/>
    <x v="3"/>
    <x v="2"/>
    <s v="Printer"/>
    <x v="4"/>
    <n v="392227.93"/>
    <n v="262444.06"/>
    <s v="Cash"/>
    <s v="Retail"/>
    <n v="129783.87"/>
    <n v="0.33088890431642642"/>
    <m/>
  </r>
  <r>
    <s v="T1953"/>
    <x v="137"/>
    <x v="2"/>
    <x v="0"/>
    <s v="Cabinet"/>
    <x v="5"/>
    <n v="195727.63"/>
    <n v="92524.98"/>
    <s v="Cash"/>
    <s v="Retail"/>
    <n v="103202.65000000001"/>
    <n v="0.52727685917414935"/>
    <m/>
  </r>
  <r>
    <s v="T1954"/>
    <x v="29"/>
    <x v="0"/>
    <x v="2"/>
    <s v="Phone"/>
    <x v="3"/>
    <n v="399415.05"/>
    <n v="227756.83"/>
    <s v="Cash"/>
    <s v="Retail"/>
    <n v="171658.22"/>
    <n v="0.42977404081293386"/>
    <m/>
  </r>
  <r>
    <s v="T1955"/>
    <x v="71"/>
    <x v="0"/>
    <x v="1"/>
    <s v="Desk"/>
    <x v="1"/>
    <n v="184913.98"/>
    <n v="110993.97"/>
    <s v="Card"/>
    <s v="Corporate"/>
    <n v="73920.010000000009"/>
    <n v="0.39975349619320294"/>
    <m/>
  </r>
  <r>
    <s v="T1956"/>
    <x v="124"/>
    <x v="3"/>
    <x v="0"/>
    <s v="Cabinet"/>
    <x v="4"/>
    <n v="313518.15000000002"/>
    <n v="128937.45"/>
    <s v="Transfer"/>
    <s v="Retail"/>
    <n v="184580.7"/>
    <n v="0.58874007772755743"/>
    <m/>
  </r>
  <r>
    <s v="T1957"/>
    <x v="10"/>
    <x v="0"/>
    <x v="2"/>
    <s v="Phone"/>
    <x v="2"/>
    <n v="329713.08"/>
    <n v="229891.07"/>
    <s v="Card"/>
    <s v="Retail"/>
    <n v="99822.010000000009"/>
    <n v="0.30275417038353469"/>
    <m/>
  </r>
  <r>
    <s v="T1958"/>
    <x v="63"/>
    <x v="0"/>
    <x v="0"/>
    <s v="Printer"/>
    <x v="0"/>
    <n v="376555.32"/>
    <n v="335605.44"/>
    <s v="Transfer"/>
    <s v="Corporate"/>
    <n v="40949.880000000005"/>
    <n v="0.10874864282889432"/>
    <m/>
  </r>
  <r>
    <s v="T1959"/>
    <x v="98"/>
    <x v="4"/>
    <x v="2"/>
    <s v="Desk"/>
    <x v="5"/>
    <n v="199211.51"/>
    <n v="82494.899999999994"/>
    <s v="Cash"/>
    <s v="Retail"/>
    <n v="116716.61000000002"/>
    <n v="0.58589290347731415"/>
    <m/>
  </r>
  <r>
    <s v="T1960"/>
    <x v="143"/>
    <x v="1"/>
    <x v="0"/>
    <s v="Laptop"/>
    <x v="1"/>
    <n v="86223.37"/>
    <n v="50219.29"/>
    <s v="Cash"/>
    <s v="Retail"/>
    <n v="36004.079999999994"/>
    <n v="0.41756753418475751"/>
    <m/>
  </r>
  <r>
    <s v="T1961"/>
    <x v="43"/>
    <x v="4"/>
    <x v="2"/>
    <s v="Chair"/>
    <x v="2"/>
    <n v="98450.87"/>
    <n v="74113.73"/>
    <s v="Card"/>
    <s v="Retail"/>
    <n v="24337.14"/>
    <n v="0.24720086272472758"/>
    <m/>
  </r>
  <r>
    <s v="T1962"/>
    <x v="142"/>
    <x v="0"/>
    <x v="1"/>
    <s v="Desk"/>
    <x v="4"/>
    <n v="142093.82"/>
    <n v="69068.009999999995"/>
    <s v="Cash"/>
    <s v="Retail"/>
    <n v="73025.810000000012"/>
    <n v="0.51392671405413692"/>
    <m/>
  </r>
  <r>
    <s v="T1963"/>
    <x v="62"/>
    <x v="4"/>
    <x v="0"/>
    <s v="Cabinet"/>
    <x v="2"/>
    <n v="223102.83"/>
    <n v="89740.61"/>
    <s v="Cash"/>
    <s v="Corporate"/>
    <n v="133362.21999999997"/>
    <n v="0.5977612206891324"/>
    <m/>
  </r>
  <r>
    <s v="T1964"/>
    <x v="112"/>
    <x v="0"/>
    <x v="1"/>
    <s v="Printer"/>
    <x v="4"/>
    <n v="486810.3"/>
    <n v="328974.53999999998"/>
    <s v="Cash"/>
    <s v="Retail"/>
    <n v="157835.76"/>
    <n v="0.32422436419278722"/>
    <m/>
  </r>
  <r>
    <s v="T1965"/>
    <x v="108"/>
    <x v="2"/>
    <x v="2"/>
    <s v="Cabinet"/>
    <x v="3"/>
    <n v="139531.19"/>
    <n v="69819.929999999993"/>
    <s v="Transfer"/>
    <s v="Corporate"/>
    <n v="69711.260000000009"/>
    <n v="0.49961058885830478"/>
    <m/>
  </r>
  <r>
    <s v="T1966"/>
    <x v="25"/>
    <x v="4"/>
    <x v="2"/>
    <s v="Cabinet"/>
    <x v="4"/>
    <n v="110848.38"/>
    <n v="71369.81"/>
    <s v="Transfer"/>
    <s v="Corporate"/>
    <n v="39478.570000000007"/>
    <n v="0.35614927344901209"/>
    <m/>
  </r>
  <r>
    <s v="T1967"/>
    <x v="109"/>
    <x v="1"/>
    <x v="2"/>
    <s v="Desk"/>
    <x v="0"/>
    <n v="119077.84"/>
    <n v="103646.28"/>
    <s v="Card"/>
    <s v="Retail"/>
    <n v="15431.559999999998"/>
    <n v="0.12959220624089249"/>
    <m/>
  </r>
  <r>
    <s v="T1968"/>
    <x v="30"/>
    <x v="0"/>
    <x v="2"/>
    <s v="Phone"/>
    <x v="1"/>
    <n v="370681.47"/>
    <n v="174583.84"/>
    <s v="Card"/>
    <s v="Retail"/>
    <n v="196097.62999999998"/>
    <n v="0.52901924123695743"/>
    <m/>
  </r>
  <r>
    <s v="T1969"/>
    <x v="48"/>
    <x v="2"/>
    <x v="1"/>
    <s v="Cabinet"/>
    <x v="1"/>
    <n v="470814.97"/>
    <n v="425259.86"/>
    <s v="Card"/>
    <s v="Retail"/>
    <n v="45555.109999999986"/>
    <n v="9.6757989662053415E-2"/>
    <m/>
  </r>
  <r>
    <s v="T1970"/>
    <x v="167"/>
    <x v="0"/>
    <x v="0"/>
    <s v="Phone"/>
    <x v="2"/>
    <n v="274468.55"/>
    <n v="176400.9"/>
    <s v="Cash"/>
    <s v="Retail"/>
    <n v="98067.65"/>
    <n v="0.35730013511566261"/>
    <m/>
  </r>
  <r>
    <s v="T1971"/>
    <x v="58"/>
    <x v="0"/>
    <x v="2"/>
    <s v="Chair"/>
    <x v="2"/>
    <n v="299586.52"/>
    <n v="216169.48"/>
    <s v="Transfer"/>
    <s v="Corporate"/>
    <n v="83417.040000000008"/>
    <n v="0.27844056534986955"/>
    <m/>
  </r>
  <r>
    <s v="T1972"/>
    <x v="148"/>
    <x v="2"/>
    <x v="1"/>
    <s v="Laptop"/>
    <x v="0"/>
    <n v="169854.17"/>
    <n v="150329.81"/>
    <s v="Cash"/>
    <s v="Retail"/>
    <n v="19524.360000000015"/>
    <n v="0.11494778138211158"/>
    <m/>
  </r>
  <r>
    <s v="T1973"/>
    <x v="24"/>
    <x v="2"/>
    <x v="0"/>
    <s v="Cabinet"/>
    <x v="5"/>
    <n v="225436.38"/>
    <n v="135918.98000000001"/>
    <s v="Transfer"/>
    <s v="Corporate"/>
    <n v="89517.4"/>
    <n v="0.39708497803238318"/>
    <m/>
  </r>
  <r>
    <s v="T1974"/>
    <x v="40"/>
    <x v="1"/>
    <x v="0"/>
    <s v="Phone"/>
    <x v="0"/>
    <n v="104310.53"/>
    <n v="44941.07"/>
    <s v="Cash"/>
    <s v="Corporate"/>
    <n v="59369.46"/>
    <n v="0.56916075491132101"/>
    <m/>
  </r>
  <r>
    <s v="T1975"/>
    <x v="102"/>
    <x v="2"/>
    <x v="2"/>
    <s v="Phone"/>
    <x v="2"/>
    <n v="294535.25"/>
    <n v="145317.95000000001"/>
    <s v="Card"/>
    <s v="Corporate"/>
    <n v="149217.29999999999"/>
    <n v="0.50661949630816683"/>
    <m/>
  </r>
  <r>
    <s v="T1976"/>
    <x v="173"/>
    <x v="1"/>
    <x v="0"/>
    <s v="Cabinet"/>
    <x v="1"/>
    <n v="134873.79"/>
    <n v="58831.93"/>
    <s v="Card"/>
    <s v="Retail"/>
    <n v="76041.860000000015"/>
    <n v="0.56380012751180208"/>
    <m/>
  </r>
  <r>
    <s v="T1977"/>
    <x v="114"/>
    <x v="1"/>
    <x v="1"/>
    <s v="Chair"/>
    <x v="5"/>
    <n v="438189.19"/>
    <n v="255919.34"/>
    <s v="Card"/>
    <s v="Retail"/>
    <n v="182269.85"/>
    <n v="0.41596153935244273"/>
    <m/>
  </r>
  <r>
    <s v="T1978"/>
    <x v="112"/>
    <x v="0"/>
    <x v="0"/>
    <s v="Laptop"/>
    <x v="1"/>
    <n v="118211.7"/>
    <n v="101720.67"/>
    <s v="Card"/>
    <s v="Corporate"/>
    <n v="16491.03"/>
    <n v="0.13950421151205844"/>
    <m/>
  </r>
  <r>
    <s v="T1979"/>
    <x v="128"/>
    <x v="4"/>
    <x v="1"/>
    <s v="Laptop"/>
    <x v="5"/>
    <n v="359503.11"/>
    <n v="332866.93"/>
    <s v="Transfer"/>
    <s v="Corporate"/>
    <n v="26636.179999999993"/>
    <n v="7.409165389417631E-2"/>
    <m/>
  </r>
  <r>
    <s v="T1980"/>
    <x v="121"/>
    <x v="0"/>
    <x v="0"/>
    <s v="Printer"/>
    <x v="4"/>
    <n v="369168.51"/>
    <n v="190358.54"/>
    <s v="Cash"/>
    <s v="Corporate"/>
    <n v="178809.97"/>
    <n v="0.48435867403750116"/>
    <m/>
  </r>
  <r>
    <s v="T1981"/>
    <x v="74"/>
    <x v="2"/>
    <x v="0"/>
    <s v="Cabinet"/>
    <x v="1"/>
    <n v="50669.53"/>
    <n v="33236.92"/>
    <s v="Card"/>
    <s v="Retail"/>
    <n v="17432.61"/>
    <n v="0.34404522797034037"/>
    <m/>
  </r>
  <r>
    <s v="T1982"/>
    <x v="127"/>
    <x v="0"/>
    <x v="0"/>
    <s v="Printer"/>
    <x v="0"/>
    <n v="381957.08"/>
    <n v="280696.38"/>
    <s v="Card"/>
    <s v="Corporate"/>
    <n v="101260.70000000001"/>
    <n v="0.26511015321407316"/>
    <m/>
  </r>
  <r>
    <s v="T1983"/>
    <x v="23"/>
    <x v="0"/>
    <x v="2"/>
    <s v="Printer"/>
    <x v="1"/>
    <n v="317810.90999999997"/>
    <n v="286350.74"/>
    <s v="Transfer"/>
    <s v="Retail"/>
    <n v="31460.169999999984"/>
    <n v="9.8990214023804243E-2"/>
    <m/>
  </r>
  <r>
    <s v="T1984"/>
    <x v="29"/>
    <x v="0"/>
    <x v="0"/>
    <s v="Chair"/>
    <x v="1"/>
    <n v="157887.48000000001"/>
    <n v="120666.82"/>
    <s v="Cash"/>
    <s v="Corporate"/>
    <n v="37220.660000000003"/>
    <n v="0.23574168135434173"/>
    <m/>
  </r>
  <r>
    <s v="T1985"/>
    <x v="72"/>
    <x v="0"/>
    <x v="2"/>
    <s v="Phone"/>
    <x v="5"/>
    <n v="198769.17"/>
    <n v="95726.85"/>
    <s v="Cash"/>
    <s v="Corporate"/>
    <n v="103042.32"/>
    <n v="0.51840192319563438"/>
    <m/>
  </r>
  <r>
    <s v="T1986"/>
    <x v="124"/>
    <x v="0"/>
    <x v="1"/>
    <s v="Phone"/>
    <x v="2"/>
    <n v="253106.51"/>
    <n v="158232.25"/>
    <s v="Cash"/>
    <s v="Corporate"/>
    <n v="94874.260000000009"/>
    <n v="0.37483927220994834"/>
    <m/>
  </r>
  <r>
    <s v="T1987"/>
    <x v="29"/>
    <x v="3"/>
    <x v="2"/>
    <s v="Desk"/>
    <x v="3"/>
    <n v="221854.94"/>
    <n v="153742.85"/>
    <s v="Cash"/>
    <s v="Corporate"/>
    <n v="68112.09"/>
    <n v="0.30701182493389595"/>
    <m/>
  </r>
  <r>
    <s v="T1988"/>
    <x v="22"/>
    <x v="1"/>
    <x v="0"/>
    <s v="Chair"/>
    <x v="0"/>
    <n v="369521.41"/>
    <n v="285417.96999999997"/>
    <s v="Cash"/>
    <s v="Retail"/>
    <n v="84103.44"/>
    <n v="0.22760099340387344"/>
    <m/>
  </r>
  <r>
    <s v="T1989"/>
    <x v="34"/>
    <x v="0"/>
    <x v="2"/>
    <s v="Cabinet"/>
    <x v="0"/>
    <n v="283247.35999999999"/>
    <n v="199533.38"/>
    <s v="Card"/>
    <s v="Corporate"/>
    <n v="83713.979999999981"/>
    <n v="0.2955507864221576"/>
    <m/>
  </r>
  <r>
    <s v="T1990"/>
    <x v="125"/>
    <x v="0"/>
    <x v="1"/>
    <s v="Laptop"/>
    <x v="4"/>
    <n v="273606.64"/>
    <n v="209604.26"/>
    <s v="Transfer"/>
    <s v="Retail"/>
    <n v="64002.380000000005"/>
    <n v="0.23392115045161185"/>
    <m/>
  </r>
  <r>
    <s v="T1991"/>
    <x v="23"/>
    <x v="2"/>
    <x v="2"/>
    <s v="Cabinet"/>
    <x v="3"/>
    <n v="103765.73"/>
    <n v="81963.78"/>
    <s v="Card"/>
    <s v="Retail"/>
    <n v="21801.949999999997"/>
    <n v="0.21010742178559336"/>
    <m/>
  </r>
  <r>
    <s v="T1992"/>
    <x v="156"/>
    <x v="0"/>
    <x v="0"/>
    <s v="Chair"/>
    <x v="4"/>
    <n v="205207.37"/>
    <n v="189761.26"/>
    <s v="Cash"/>
    <s v="Retail"/>
    <n v="15446.109999999986"/>
    <n v="7.5270737108516061E-2"/>
    <m/>
  </r>
  <r>
    <s v="T1993"/>
    <x v="155"/>
    <x v="4"/>
    <x v="1"/>
    <s v="Printer"/>
    <x v="0"/>
    <n v="272680.24"/>
    <n v="181706.62"/>
    <s v="Cash"/>
    <s v="Retail"/>
    <n v="90973.62"/>
    <n v="0.33362747517018465"/>
    <m/>
  </r>
  <r>
    <s v="T1994"/>
    <x v="115"/>
    <x v="2"/>
    <x v="2"/>
    <s v="Desk"/>
    <x v="3"/>
    <n v="137251.85999999999"/>
    <n v="111487.76"/>
    <s v="Transfer"/>
    <s v="Corporate"/>
    <n v="25764.099999999991"/>
    <n v="0.18771403170783985"/>
    <m/>
  </r>
  <r>
    <s v="T1995"/>
    <x v="104"/>
    <x v="2"/>
    <x v="0"/>
    <s v="Phone"/>
    <x v="0"/>
    <n v="424213.72"/>
    <n v="388983.17"/>
    <s v="Transfer"/>
    <s v="Retail"/>
    <n v="35230.549999999988"/>
    <n v="8.3049058385004593E-2"/>
    <m/>
  </r>
  <r>
    <s v="T1996"/>
    <x v="121"/>
    <x v="2"/>
    <x v="2"/>
    <s v="Desk"/>
    <x v="0"/>
    <n v="296820.94"/>
    <n v="201142.99"/>
    <s v="Cash"/>
    <s v="Corporate"/>
    <n v="95677.950000000012"/>
    <n v="0.32234231857092027"/>
    <m/>
  </r>
  <r>
    <s v="T1997"/>
    <x v="170"/>
    <x v="1"/>
    <x v="1"/>
    <s v="Phone"/>
    <x v="4"/>
    <n v="389799.73"/>
    <n v="298634.27"/>
    <s v="Cash"/>
    <s v="Retail"/>
    <n v="91165.459999999963"/>
    <n v="0.23387768893528985"/>
    <m/>
  </r>
  <r>
    <s v="T1998"/>
    <x v="55"/>
    <x v="4"/>
    <x v="2"/>
    <s v="Chair"/>
    <x v="2"/>
    <n v="450428.04"/>
    <n v="301874.89"/>
    <s v="Transfer"/>
    <s v="Retail"/>
    <n v="148553.14999999997"/>
    <n v="0.32980440116472315"/>
    <m/>
  </r>
  <r>
    <s v="T1999"/>
    <x v="140"/>
    <x v="0"/>
    <x v="2"/>
    <s v="Chair"/>
    <x v="1"/>
    <n v="254973.64"/>
    <n v="212824.45"/>
    <s v="Transfer"/>
    <s v="Retail"/>
    <n v="42149.19"/>
    <n v="0.16530802948885226"/>
    <m/>
  </r>
  <r>
    <s v="T2000"/>
    <x v="170"/>
    <x v="2"/>
    <x v="2"/>
    <s v="Chair"/>
    <x v="3"/>
    <n v="269818.31"/>
    <n v="207101.09"/>
    <s v="Card"/>
    <s v="Corporate"/>
    <n v="62717.22"/>
    <n v="0.2324424165283668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FC23CD-EFF1-4FAB-AC9A-3FEA22DA94D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8" firstHeaderRow="1" firstDataRow="1" firstDataCol="1"/>
  <pivotFields count="15">
    <pivotField showAll="0"/>
    <pivotField axis="axisRow" numFmtId="14" showAll="0">
      <items count="180">
        <item x="139"/>
        <item x="155"/>
        <item x="98"/>
        <item x="145"/>
        <item x="21"/>
        <item x="32"/>
        <item x="102"/>
        <item x="3"/>
        <item x="71"/>
        <item x="54"/>
        <item x="147"/>
        <item x="176"/>
        <item x="160"/>
        <item x="61"/>
        <item x="130"/>
        <item x="117"/>
        <item x="124"/>
        <item x="83"/>
        <item x="57"/>
        <item x="118"/>
        <item x="138"/>
        <item x="41"/>
        <item x="53"/>
        <item x="76"/>
        <item x="159"/>
        <item x="42"/>
        <item x="68"/>
        <item x="55"/>
        <item x="163"/>
        <item x="136"/>
        <item x="119"/>
        <item x="92"/>
        <item x="39"/>
        <item x="142"/>
        <item x="63"/>
        <item x="162"/>
        <item x="79"/>
        <item x="62"/>
        <item x="116"/>
        <item x="120"/>
        <item x="85"/>
        <item x="161"/>
        <item x="14"/>
        <item x="153"/>
        <item x="65"/>
        <item x="50"/>
        <item x="43"/>
        <item x="36"/>
        <item x="107"/>
        <item x="27"/>
        <item x="2"/>
        <item x="49"/>
        <item x="131"/>
        <item x="166"/>
        <item x="94"/>
        <item x="38"/>
        <item x="148"/>
        <item x="126"/>
        <item x="152"/>
        <item x="104"/>
        <item x="108"/>
        <item x="129"/>
        <item x="51"/>
        <item x="7"/>
        <item x="113"/>
        <item x="172"/>
        <item x="4"/>
        <item x="70"/>
        <item x="20"/>
        <item x="81"/>
        <item x="31"/>
        <item x="33"/>
        <item x="173"/>
        <item x="1"/>
        <item x="8"/>
        <item x="66"/>
        <item x="58"/>
        <item x="37"/>
        <item x="30"/>
        <item x="135"/>
        <item x="77"/>
        <item x="96"/>
        <item x="69"/>
        <item x="127"/>
        <item x="109"/>
        <item x="48"/>
        <item x="75"/>
        <item x="95"/>
        <item x="93"/>
        <item x="19"/>
        <item x="87"/>
        <item x="134"/>
        <item x="106"/>
        <item x="78"/>
        <item x="80"/>
        <item x="67"/>
        <item x="121"/>
        <item x="101"/>
        <item x="22"/>
        <item x="6"/>
        <item x="24"/>
        <item x="170"/>
        <item x="9"/>
        <item x="111"/>
        <item x="25"/>
        <item x="34"/>
        <item x="105"/>
        <item x="0"/>
        <item x="45"/>
        <item x="60"/>
        <item x="16"/>
        <item x="100"/>
        <item x="89"/>
        <item x="177"/>
        <item x="171"/>
        <item x="26"/>
        <item x="151"/>
        <item x="156"/>
        <item x="169"/>
        <item x="178"/>
        <item x="5"/>
        <item x="64"/>
        <item x="59"/>
        <item x="13"/>
        <item x="74"/>
        <item x="157"/>
        <item x="84"/>
        <item x="174"/>
        <item x="35"/>
        <item x="46"/>
        <item x="141"/>
        <item x="144"/>
        <item x="11"/>
        <item x="90"/>
        <item x="23"/>
        <item x="97"/>
        <item x="29"/>
        <item x="56"/>
        <item x="52"/>
        <item x="99"/>
        <item x="115"/>
        <item x="82"/>
        <item x="91"/>
        <item x="72"/>
        <item x="143"/>
        <item x="47"/>
        <item x="18"/>
        <item x="103"/>
        <item x="146"/>
        <item x="150"/>
        <item x="140"/>
        <item x="133"/>
        <item x="167"/>
        <item x="137"/>
        <item x="164"/>
        <item x="123"/>
        <item x="73"/>
        <item x="86"/>
        <item x="17"/>
        <item x="154"/>
        <item x="15"/>
        <item x="44"/>
        <item x="28"/>
        <item x="128"/>
        <item x="165"/>
        <item x="12"/>
        <item x="110"/>
        <item x="175"/>
        <item x="168"/>
        <item x="40"/>
        <item x="158"/>
        <item x="149"/>
        <item x="132"/>
        <item x="125"/>
        <item x="112"/>
        <item x="88"/>
        <item x="114"/>
        <item x="122"/>
        <item x="10"/>
        <item t="default"/>
      </items>
    </pivotField>
    <pivotField showAll="0">
      <items count="6">
        <item x="2"/>
        <item x="1"/>
        <item x="3"/>
        <item x="0"/>
        <item x="4"/>
        <item t="default"/>
      </items>
    </pivotField>
    <pivotField showAll="0">
      <items count="4">
        <item x="0"/>
        <item x="1"/>
        <item x="2"/>
        <item t="default"/>
      </items>
    </pivotField>
    <pivotField showAll="0"/>
    <pivotField showAll="0">
      <items count="7">
        <item x="2"/>
        <item x="5"/>
        <item x="4"/>
        <item x="0"/>
        <item x="3"/>
        <item x="1"/>
        <item t="default"/>
      </items>
    </pivotField>
    <pivotField showAll="0"/>
    <pivotField showAll="0"/>
    <pivotField showAll="0"/>
    <pivotField showAll="0"/>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1"/>
  </rowFields>
  <rowItems count="7">
    <i>
      <x v="1"/>
    </i>
    <i>
      <x v="2"/>
    </i>
    <i>
      <x v="3"/>
    </i>
    <i>
      <x v="4"/>
    </i>
    <i>
      <x v="5"/>
    </i>
    <i>
      <x v="6"/>
    </i>
    <i t="grand">
      <x/>
    </i>
  </rowItems>
  <colItems count="1">
    <i/>
  </colItems>
  <dataFields count="1">
    <dataField name="Sum of Profit" fld="10" baseField="0" baseItem="0" numFmtId="164"/>
  </dataFields>
  <formats count="7">
    <format dxfId="13">
      <pivotArea outline="0" collapsedLevelsAreSubtotals="1" fieldPosition="0"/>
    </format>
    <format dxfId="12">
      <pivotArea collapsedLevelsAreSubtotals="1" fieldPosition="0">
        <references count="1">
          <reference field="14" count="1">
            <x v="1"/>
          </reference>
        </references>
      </pivotArea>
    </format>
    <format dxfId="11">
      <pivotArea collapsedLevelsAreSubtotals="1" fieldPosition="0">
        <references count="1">
          <reference field="14" count="1">
            <x v="2"/>
          </reference>
        </references>
      </pivotArea>
    </format>
    <format dxfId="10">
      <pivotArea collapsedLevelsAreSubtotals="1" fieldPosition="0">
        <references count="1">
          <reference field="14" count="1">
            <x v="3"/>
          </reference>
        </references>
      </pivotArea>
    </format>
    <format dxfId="9">
      <pivotArea collapsedLevelsAreSubtotals="1" fieldPosition="0">
        <references count="1">
          <reference field="14" count="1">
            <x v="4"/>
          </reference>
        </references>
      </pivotArea>
    </format>
    <format dxfId="8">
      <pivotArea collapsedLevelsAreSubtotals="1" fieldPosition="0">
        <references count="1">
          <reference field="14" count="1">
            <x v="5"/>
          </reference>
        </references>
      </pivotArea>
    </format>
    <format dxfId="7">
      <pivotArea collapsedLevelsAreSubtotals="1" fieldPosition="0">
        <references count="1">
          <reference field="14" count="1">
            <x v="6"/>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7F49F5-1D66-466A-972E-EFAD90CAA09F}"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1:F18" firstHeaderRow="0" firstDataRow="1" firstDataCol="1"/>
  <pivotFields count="15">
    <pivotField showAll="0"/>
    <pivotField numFmtId="14" showAll="0">
      <items count="180">
        <item x="139"/>
        <item x="155"/>
        <item x="98"/>
        <item x="145"/>
        <item x="21"/>
        <item x="32"/>
        <item x="102"/>
        <item x="3"/>
        <item x="71"/>
        <item x="54"/>
        <item x="147"/>
        <item x="176"/>
        <item x="160"/>
        <item x="61"/>
        <item x="130"/>
        <item x="117"/>
        <item x="124"/>
        <item x="83"/>
        <item x="57"/>
        <item x="118"/>
        <item x="138"/>
        <item x="41"/>
        <item x="53"/>
        <item x="76"/>
        <item x="159"/>
        <item x="42"/>
        <item x="68"/>
        <item x="55"/>
        <item x="163"/>
        <item x="136"/>
        <item x="119"/>
        <item x="92"/>
        <item x="39"/>
        <item x="142"/>
        <item x="63"/>
        <item x="162"/>
        <item x="79"/>
        <item x="62"/>
        <item x="116"/>
        <item x="120"/>
        <item x="85"/>
        <item x="161"/>
        <item x="14"/>
        <item x="153"/>
        <item x="65"/>
        <item x="50"/>
        <item x="43"/>
        <item x="36"/>
        <item x="107"/>
        <item x="27"/>
        <item x="2"/>
        <item x="49"/>
        <item x="131"/>
        <item x="166"/>
        <item x="94"/>
        <item x="38"/>
        <item x="148"/>
        <item x="126"/>
        <item x="152"/>
        <item x="104"/>
        <item x="108"/>
        <item x="129"/>
        <item x="51"/>
        <item x="7"/>
        <item x="113"/>
        <item x="172"/>
        <item x="4"/>
        <item x="70"/>
        <item x="20"/>
        <item x="81"/>
        <item x="31"/>
        <item x="33"/>
        <item x="173"/>
        <item x="1"/>
        <item x="8"/>
        <item x="66"/>
        <item x="58"/>
        <item x="37"/>
        <item x="30"/>
        <item x="135"/>
        <item x="77"/>
        <item x="96"/>
        <item x="69"/>
        <item x="127"/>
        <item x="109"/>
        <item x="48"/>
        <item x="75"/>
        <item x="95"/>
        <item x="93"/>
        <item x="19"/>
        <item x="87"/>
        <item x="134"/>
        <item x="106"/>
        <item x="78"/>
        <item x="80"/>
        <item x="67"/>
        <item x="121"/>
        <item x="101"/>
        <item x="22"/>
        <item x="6"/>
        <item x="24"/>
        <item x="170"/>
        <item x="9"/>
        <item x="111"/>
        <item x="25"/>
        <item x="34"/>
        <item x="105"/>
        <item x="0"/>
        <item x="45"/>
        <item x="60"/>
        <item x="16"/>
        <item x="100"/>
        <item x="89"/>
        <item x="177"/>
        <item x="171"/>
        <item x="26"/>
        <item x="151"/>
        <item x="156"/>
        <item x="169"/>
        <item x="178"/>
        <item x="5"/>
        <item x="64"/>
        <item x="59"/>
        <item x="13"/>
        <item x="74"/>
        <item x="157"/>
        <item x="84"/>
        <item x="174"/>
        <item x="35"/>
        <item x="46"/>
        <item x="141"/>
        <item x="144"/>
        <item x="11"/>
        <item x="90"/>
        <item x="23"/>
        <item x="97"/>
        <item x="29"/>
        <item x="56"/>
        <item x="52"/>
        <item x="99"/>
        <item x="115"/>
        <item x="82"/>
        <item x="91"/>
        <item x="72"/>
        <item x="143"/>
        <item x="47"/>
        <item x="18"/>
        <item x="103"/>
        <item x="146"/>
        <item x="150"/>
        <item x="140"/>
        <item x="133"/>
        <item x="167"/>
        <item x="137"/>
        <item x="164"/>
        <item x="123"/>
        <item x="73"/>
        <item x="86"/>
        <item x="17"/>
        <item x="154"/>
        <item x="15"/>
        <item x="44"/>
        <item x="28"/>
        <item x="128"/>
        <item x="165"/>
        <item x="12"/>
        <item x="110"/>
        <item x="175"/>
        <item x="168"/>
        <item x="40"/>
        <item x="158"/>
        <item x="149"/>
        <item x="132"/>
        <item x="125"/>
        <item x="112"/>
        <item x="88"/>
        <item x="114"/>
        <item x="122"/>
        <item x="10"/>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4"/>
  </rowFields>
  <rowItems count="7">
    <i>
      <x v="1"/>
    </i>
    <i>
      <x v="2"/>
    </i>
    <i>
      <x v="3"/>
    </i>
    <i>
      <x v="4"/>
    </i>
    <i>
      <x v="5"/>
    </i>
    <i>
      <x v="6"/>
    </i>
    <i t="grand">
      <x/>
    </i>
  </rowItems>
  <colFields count="1">
    <field x="-2"/>
  </colFields>
  <colItems count="2">
    <i>
      <x/>
    </i>
    <i i="1">
      <x v="1"/>
    </i>
  </colItems>
  <dataFields count="2">
    <dataField name="Sum of Expenses" fld="7" baseField="0" baseItem="0"/>
    <dataField name="Sum of Revenue" fld="6" baseField="0" baseItem="0"/>
  </dataFields>
  <formats count="1">
    <format dxfId="1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B94C43-189B-4E61-9EAD-7FC3033F9263}"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B18" firstHeaderRow="1" firstDataRow="1" firstDataCol="1"/>
  <pivotFields count="15">
    <pivotField showAll="0"/>
    <pivotField numFmtId="14" showAll="0">
      <items count="180">
        <item x="139"/>
        <item x="155"/>
        <item x="98"/>
        <item x="145"/>
        <item x="21"/>
        <item x="32"/>
        <item x="102"/>
        <item x="3"/>
        <item x="71"/>
        <item x="54"/>
        <item x="147"/>
        <item x="176"/>
        <item x="160"/>
        <item x="61"/>
        <item x="130"/>
        <item x="117"/>
        <item x="124"/>
        <item x="83"/>
        <item x="57"/>
        <item x="118"/>
        <item x="138"/>
        <item x="41"/>
        <item x="53"/>
        <item x="76"/>
        <item x="159"/>
        <item x="42"/>
        <item x="68"/>
        <item x="55"/>
        <item x="163"/>
        <item x="136"/>
        <item x="119"/>
        <item x="92"/>
        <item x="39"/>
        <item x="142"/>
        <item x="63"/>
        <item x="162"/>
        <item x="79"/>
        <item x="62"/>
        <item x="116"/>
        <item x="120"/>
        <item x="85"/>
        <item x="161"/>
        <item x="14"/>
        <item x="153"/>
        <item x="65"/>
        <item x="50"/>
        <item x="43"/>
        <item x="36"/>
        <item x="107"/>
        <item x="27"/>
        <item x="2"/>
        <item x="49"/>
        <item x="131"/>
        <item x="166"/>
        <item x="94"/>
        <item x="38"/>
        <item x="148"/>
        <item x="126"/>
        <item x="152"/>
        <item x="104"/>
        <item x="108"/>
        <item x="129"/>
        <item x="51"/>
        <item x="7"/>
        <item x="113"/>
        <item x="172"/>
        <item x="4"/>
        <item x="70"/>
        <item x="20"/>
        <item x="81"/>
        <item x="31"/>
        <item x="33"/>
        <item x="173"/>
        <item x="1"/>
        <item x="8"/>
        <item x="66"/>
        <item x="58"/>
        <item x="37"/>
        <item x="30"/>
        <item x="135"/>
        <item x="77"/>
        <item x="96"/>
        <item x="69"/>
        <item x="127"/>
        <item x="109"/>
        <item x="48"/>
        <item x="75"/>
        <item x="95"/>
        <item x="93"/>
        <item x="19"/>
        <item x="87"/>
        <item x="134"/>
        <item x="106"/>
        <item x="78"/>
        <item x="80"/>
        <item x="67"/>
        <item x="121"/>
        <item x="101"/>
        <item x="22"/>
        <item x="6"/>
        <item x="24"/>
        <item x="170"/>
        <item x="9"/>
        <item x="111"/>
        <item x="25"/>
        <item x="34"/>
        <item x="105"/>
        <item x="0"/>
        <item x="45"/>
        <item x="60"/>
        <item x="16"/>
        <item x="100"/>
        <item x="89"/>
        <item x="177"/>
        <item x="171"/>
        <item x="26"/>
        <item x="151"/>
        <item x="156"/>
        <item x="169"/>
        <item x="178"/>
        <item x="5"/>
        <item x="64"/>
        <item x="59"/>
        <item x="13"/>
        <item x="74"/>
        <item x="157"/>
        <item x="84"/>
        <item x="174"/>
        <item x="35"/>
        <item x="46"/>
        <item x="141"/>
        <item x="144"/>
        <item x="11"/>
        <item x="90"/>
        <item x="23"/>
        <item x="97"/>
        <item x="29"/>
        <item x="56"/>
        <item x="52"/>
        <item x="99"/>
        <item x="115"/>
        <item x="82"/>
        <item x="91"/>
        <item x="72"/>
        <item x="143"/>
        <item x="47"/>
        <item x="18"/>
        <item x="103"/>
        <item x="146"/>
        <item x="150"/>
        <item x="140"/>
        <item x="133"/>
        <item x="167"/>
        <item x="137"/>
        <item x="164"/>
        <item x="123"/>
        <item x="73"/>
        <item x="86"/>
        <item x="17"/>
        <item x="154"/>
        <item x="15"/>
        <item x="44"/>
        <item x="28"/>
        <item x="128"/>
        <item x="165"/>
        <item x="12"/>
        <item x="110"/>
        <item x="175"/>
        <item x="168"/>
        <item x="40"/>
        <item x="158"/>
        <item x="149"/>
        <item x="132"/>
        <item x="125"/>
        <item x="112"/>
        <item x="88"/>
        <item x="114"/>
        <item x="122"/>
        <item x="10"/>
        <item t="default"/>
      </items>
    </pivotField>
    <pivotField showAll="0"/>
    <pivotField showAll="0"/>
    <pivotField showAll="0"/>
    <pivotField axis="axisRow" showAll="0">
      <items count="7">
        <item x="2"/>
        <item x="5"/>
        <item x="4"/>
        <item x="0"/>
        <item x="3"/>
        <item x="1"/>
        <item t="default"/>
      </items>
    </pivotField>
    <pivotField showAll="0"/>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7">
    <i>
      <x/>
    </i>
    <i>
      <x v="1"/>
    </i>
    <i>
      <x v="2"/>
    </i>
    <i>
      <x v="3"/>
    </i>
    <i>
      <x v="4"/>
    </i>
    <i>
      <x v="5"/>
    </i>
    <i t="grand">
      <x/>
    </i>
  </rowItems>
  <colItems count="1">
    <i/>
  </colItems>
  <dataFields count="1">
    <dataField name="Sum of Profit" fld="10" baseField="0" baseItem="0" numFmtId="164"/>
  </dataFields>
  <formats count="1">
    <format dxfId="1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927120-9275-4484-8DCD-821E38ABEB99}"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H5" firstHeaderRow="1" firstDataRow="1" firstDataCol="1"/>
  <pivotFields count="15">
    <pivotField showAll="0"/>
    <pivotField numFmtId="14" showAll="0">
      <items count="180">
        <item x="139"/>
        <item x="155"/>
        <item x="98"/>
        <item x="145"/>
        <item x="21"/>
        <item x="32"/>
        <item x="102"/>
        <item x="3"/>
        <item x="71"/>
        <item x="54"/>
        <item x="147"/>
        <item x="176"/>
        <item x="160"/>
        <item x="61"/>
        <item x="130"/>
        <item x="117"/>
        <item x="124"/>
        <item x="83"/>
        <item x="57"/>
        <item x="118"/>
        <item x="138"/>
        <item x="41"/>
        <item x="53"/>
        <item x="76"/>
        <item x="159"/>
        <item x="42"/>
        <item x="68"/>
        <item x="55"/>
        <item x="163"/>
        <item x="136"/>
        <item x="119"/>
        <item x="92"/>
        <item x="39"/>
        <item x="142"/>
        <item x="63"/>
        <item x="162"/>
        <item x="79"/>
        <item x="62"/>
        <item x="116"/>
        <item x="120"/>
        <item x="85"/>
        <item x="161"/>
        <item x="14"/>
        <item x="153"/>
        <item x="65"/>
        <item x="50"/>
        <item x="43"/>
        <item x="36"/>
        <item x="107"/>
        <item x="27"/>
        <item x="2"/>
        <item x="49"/>
        <item x="131"/>
        <item x="166"/>
        <item x="94"/>
        <item x="38"/>
        <item x="148"/>
        <item x="126"/>
        <item x="152"/>
        <item x="104"/>
        <item x="108"/>
        <item x="129"/>
        <item x="51"/>
        <item x="7"/>
        <item x="113"/>
        <item x="172"/>
        <item x="4"/>
        <item x="70"/>
        <item x="20"/>
        <item x="81"/>
        <item x="31"/>
        <item x="33"/>
        <item x="173"/>
        <item x="1"/>
        <item x="8"/>
        <item x="66"/>
        <item x="58"/>
        <item x="37"/>
        <item x="30"/>
        <item x="135"/>
        <item x="77"/>
        <item x="96"/>
        <item x="69"/>
        <item x="127"/>
        <item x="109"/>
        <item x="48"/>
        <item x="75"/>
        <item x="95"/>
        <item x="93"/>
        <item x="19"/>
        <item x="87"/>
        <item x="134"/>
        <item x="106"/>
        <item x="78"/>
        <item x="80"/>
        <item x="67"/>
        <item x="121"/>
        <item x="101"/>
        <item x="22"/>
        <item x="6"/>
        <item x="24"/>
        <item x="170"/>
        <item x="9"/>
        <item x="111"/>
        <item x="25"/>
        <item x="34"/>
        <item x="105"/>
        <item x="0"/>
        <item x="45"/>
        <item x="60"/>
        <item x="16"/>
        <item x="100"/>
        <item x="89"/>
        <item x="177"/>
        <item x="171"/>
        <item x="26"/>
        <item x="151"/>
        <item x="156"/>
        <item x="169"/>
        <item x="178"/>
        <item x="5"/>
        <item x="64"/>
        <item x="59"/>
        <item x="13"/>
        <item x="74"/>
        <item x="157"/>
        <item x="84"/>
        <item x="174"/>
        <item x="35"/>
        <item x="46"/>
        <item x="141"/>
        <item x="144"/>
        <item x="11"/>
        <item x="90"/>
        <item x="23"/>
        <item x="97"/>
        <item x="29"/>
        <item x="56"/>
        <item x="52"/>
        <item x="99"/>
        <item x="115"/>
        <item x="82"/>
        <item x="91"/>
        <item x="72"/>
        <item x="143"/>
        <item x="47"/>
        <item x="18"/>
        <item x="103"/>
        <item x="146"/>
        <item x="150"/>
        <item x="140"/>
        <item x="133"/>
        <item x="167"/>
        <item x="137"/>
        <item x="164"/>
        <item x="123"/>
        <item x="73"/>
        <item x="86"/>
        <item x="17"/>
        <item x="154"/>
        <item x="15"/>
        <item x="44"/>
        <item x="28"/>
        <item x="128"/>
        <item x="165"/>
        <item x="12"/>
        <item x="110"/>
        <item x="175"/>
        <item x="168"/>
        <item x="40"/>
        <item x="158"/>
        <item x="149"/>
        <item x="132"/>
        <item x="125"/>
        <item x="112"/>
        <item x="88"/>
        <item x="114"/>
        <item x="122"/>
        <item x="10"/>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4">
    <i>
      <x/>
    </i>
    <i>
      <x v="1"/>
    </i>
    <i>
      <x v="2"/>
    </i>
    <i t="grand">
      <x/>
    </i>
  </rowItems>
  <colItems count="1">
    <i/>
  </colItems>
  <dataFields count="1">
    <dataField name="Sum of Profit" fld="10" baseField="0" baseItem="0" numFmtId="164"/>
  </dataFields>
  <formats count="1">
    <format dxfId="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BDE23C-7F23-4059-BF0F-22E11C058A7D}"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E7" firstHeaderRow="1" firstDataRow="1" firstDataCol="1"/>
  <pivotFields count="15">
    <pivotField showAll="0"/>
    <pivotField numFmtId="14" showAll="0">
      <items count="180">
        <item x="139"/>
        <item x="155"/>
        <item x="98"/>
        <item x="145"/>
        <item x="21"/>
        <item x="32"/>
        <item x="102"/>
        <item x="3"/>
        <item x="71"/>
        <item x="54"/>
        <item x="147"/>
        <item x="176"/>
        <item x="160"/>
        <item x="61"/>
        <item x="130"/>
        <item x="117"/>
        <item x="124"/>
        <item x="83"/>
        <item x="57"/>
        <item x="118"/>
        <item x="138"/>
        <item x="41"/>
        <item x="53"/>
        <item x="76"/>
        <item x="159"/>
        <item x="42"/>
        <item x="68"/>
        <item x="55"/>
        <item x="163"/>
        <item x="136"/>
        <item x="119"/>
        <item x="92"/>
        <item x="39"/>
        <item x="142"/>
        <item x="63"/>
        <item x="162"/>
        <item x="79"/>
        <item x="62"/>
        <item x="116"/>
        <item x="120"/>
        <item x="85"/>
        <item x="161"/>
        <item x="14"/>
        <item x="153"/>
        <item x="65"/>
        <item x="50"/>
        <item x="43"/>
        <item x="36"/>
        <item x="107"/>
        <item x="27"/>
        <item x="2"/>
        <item x="49"/>
        <item x="131"/>
        <item x="166"/>
        <item x="94"/>
        <item x="38"/>
        <item x="148"/>
        <item x="126"/>
        <item x="152"/>
        <item x="104"/>
        <item x="108"/>
        <item x="129"/>
        <item x="51"/>
        <item x="7"/>
        <item x="113"/>
        <item x="172"/>
        <item x="4"/>
        <item x="70"/>
        <item x="20"/>
        <item x="81"/>
        <item x="31"/>
        <item x="33"/>
        <item x="173"/>
        <item x="1"/>
        <item x="8"/>
        <item x="66"/>
        <item x="58"/>
        <item x="37"/>
        <item x="30"/>
        <item x="135"/>
        <item x="77"/>
        <item x="96"/>
        <item x="69"/>
        <item x="127"/>
        <item x="109"/>
        <item x="48"/>
        <item x="75"/>
        <item x="95"/>
        <item x="93"/>
        <item x="19"/>
        <item x="87"/>
        <item x="134"/>
        <item x="106"/>
        <item x="78"/>
        <item x="80"/>
        <item x="67"/>
        <item x="121"/>
        <item x="101"/>
        <item x="22"/>
        <item x="6"/>
        <item x="24"/>
        <item x="170"/>
        <item x="9"/>
        <item x="111"/>
        <item x="25"/>
        <item x="34"/>
        <item x="105"/>
        <item x="0"/>
        <item x="45"/>
        <item x="60"/>
        <item x="16"/>
        <item x="100"/>
        <item x="89"/>
        <item x="177"/>
        <item x="171"/>
        <item x="26"/>
        <item x="151"/>
        <item x="156"/>
        <item x="169"/>
        <item x="178"/>
        <item x="5"/>
        <item x="64"/>
        <item x="59"/>
        <item x="13"/>
        <item x="74"/>
        <item x="157"/>
        <item x="84"/>
        <item x="174"/>
        <item x="35"/>
        <item x="46"/>
        <item x="141"/>
        <item x="144"/>
        <item x="11"/>
        <item x="90"/>
        <item x="23"/>
        <item x="97"/>
        <item x="29"/>
        <item x="56"/>
        <item x="52"/>
        <item x="99"/>
        <item x="115"/>
        <item x="82"/>
        <item x="91"/>
        <item x="72"/>
        <item x="143"/>
        <item x="47"/>
        <item x="18"/>
        <item x="103"/>
        <item x="146"/>
        <item x="150"/>
        <item x="140"/>
        <item x="133"/>
        <item x="167"/>
        <item x="137"/>
        <item x="164"/>
        <item x="123"/>
        <item x="73"/>
        <item x="86"/>
        <item x="17"/>
        <item x="154"/>
        <item x="15"/>
        <item x="44"/>
        <item x="28"/>
        <item x="128"/>
        <item x="165"/>
        <item x="12"/>
        <item x="110"/>
        <item x="175"/>
        <item x="168"/>
        <item x="40"/>
        <item x="158"/>
        <item x="149"/>
        <item x="132"/>
        <item x="125"/>
        <item x="112"/>
        <item x="88"/>
        <item x="114"/>
        <item x="122"/>
        <item x="10"/>
        <item t="default"/>
      </items>
    </pivotField>
    <pivotField axis="axisRow" showAll="0">
      <items count="6">
        <item x="2"/>
        <item x="1"/>
        <item x="3"/>
        <item x="0"/>
        <item x="4"/>
        <item t="default"/>
      </items>
    </pivotField>
    <pivotField showAll="0"/>
    <pivotField showAll="0"/>
    <pivotField showAll="0"/>
    <pivotField showAll="0"/>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i>
    <i>
      <x v="1"/>
    </i>
    <i>
      <x v="2"/>
    </i>
    <i>
      <x v="3"/>
    </i>
    <i>
      <x v="4"/>
    </i>
    <i t="grand">
      <x/>
    </i>
  </rowItems>
  <colItems count="1">
    <i/>
  </colItems>
  <dataFields count="1">
    <dataField name="Sum of Profit" fld="10" baseField="0" baseItem="0" numFmtId="164"/>
  </dataFields>
  <formats count="1">
    <format dxfId="1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F580174-9860-4FB7-B0AF-64971BF0F4FB}" autoFormatId="16" applyNumberFormats="0" applyBorderFormats="0" applyFontFormats="0" applyPatternFormats="0" applyAlignmentFormats="0" applyWidthHeightFormats="0">
  <queryTableRefresh nextId="14" unboundColumnsRight="1">
    <queryTableFields count="13">
      <queryTableField id="1" name="Transaction ID" tableColumnId="1"/>
      <queryTableField id="2" name="Date" tableColumnId="2"/>
      <queryTableField id="3" name="City" tableColumnId="3"/>
      <queryTableField id="4" name="Product Category" tableColumnId="4"/>
      <queryTableField id="5" name="Product Name" tableColumnId="5"/>
      <queryTableField id="6" name="Salesperson" tableColumnId="6"/>
      <queryTableField id="7" name="Revenue" tableColumnId="7"/>
      <queryTableField id="8" name="Expenses" tableColumnId="8"/>
      <queryTableField id="9" name="Payment Method" tableColumnId="9"/>
      <queryTableField id="10" name="Customer Type" tableColumnId="10"/>
      <queryTableField id="11" name="Profit" tableColumnId="11"/>
      <queryTableField id="12" name="Profit Margin"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D229E96-23F1-46FC-8C22-CCF2C6A83A86}" sourceName="City">
  <pivotTables>
    <pivotTable tabId="4" name="PivotTable10"/>
  </pivotTables>
  <data>
    <tabular pivotCacheId="1589243139">
      <items count="5">
        <i x="2" s="1"/>
        <i x="1"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5394E10-0A2F-4FB0-8918-D76A862EF4B6}" sourceName="Product Category">
  <pivotTables>
    <pivotTable tabId="4" name="PivotTable10"/>
  </pivotTables>
  <data>
    <tabular pivotCacheId="158924313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36E33F8-41B8-47D5-B9F7-C55B45996DA5}" sourceName="Salesperson">
  <pivotTables>
    <pivotTable tabId="4" name="PivotTable10"/>
  </pivotTables>
  <data>
    <tabular pivotCacheId="1589243139">
      <items count="6">
        <i x="2" s="1"/>
        <i x="5" s="1"/>
        <i x="4"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A74EECD7-7075-495D-BA95-1767FB602CDC}" sourceName="Months (Date)">
  <pivotTables>
    <pivotTable tabId="4" name="PivotTable10"/>
  </pivotTables>
  <data>
    <tabular pivotCacheId="1589243139">
      <items count="14">
        <i x="1" s="1"/>
        <i x="2" s="1"/>
        <i x="3" s="1"/>
        <i x="4" s="1"/>
        <i x="5" s="1"/>
        <i x="6" s="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F113DBF-AD5F-46C5-A3EB-70F98CACB60B}" cache="Slicer_City" caption="City" rowHeight="241300"/>
  <slicer name="Product Category" xr10:uid="{6295B542-9E2D-487F-BEE8-06EF5D91FA8A}" cache="Slicer_Product_Category" caption="Product Category" rowHeight="241300"/>
  <slicer name="Salesperson" xr10:uid="{F150183F-CE91-4FC2-BDA0-C334893647D9}" cache="Slicer_Salesperson" caption="Salesperson" rowHeight="241300"/>
  <slicer name="Months (Date)" xr10:uid="{B467B1A9-38BC-4EA9-9AC5-B4569CEF5830}" cache="Slicer_Months__Date" caption="Months (Date)"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0C3749-DF88-482C-A53C-1562355A7281}" name="Table2" displayName="Table2" ref="A1:J1011" totalsRowShown="0">
  <autoFilter ref="A1:J1011" xr:uid="{420C3749-DF88-482C-A53C-1562355A7281}"/>
  <tableColumns count="10">
    <tableColumn id="1" xr3:uid="{916EAEAB-39D0-48E6-A815-19D9C21D61C8}" name="Transaction ID"/>
    <tableColumn id="2" xr3:uid="{4CEA29F8-52D2-4E53-A2EF-07000F2B8297}" name="Date"/>
    <tableColumn id="3" xr3:uid="{DE08506A-8D40-4AAE-9C73-5765209D5AE7}" name="City"/>
    <tableColumn id="4" xr3:uid="{4FE4E405-5437-4F2C-A32B-853B1BF5FC9A}" name="Product Category"/>
    <tableColumn id="5" xr3:uid="{219A2985-2A80-4339-B7B6-FB623341A75F}" name="Product Name"/>
    <tableColumn id="6" xr3:uid="{E329F65C-8B4D-4068-92B8-0710A1307C0D}" name="Salesperson"/>
    <tableColumn id="7" xr3:uid="{22EB9FFC-EE13-426B-80B3-1B0747497EF7}" name="Revenue"/>
    <tableColumn id="8" xr3:uid="{271AACCE-62C3-417D-B743-4D2FAA23DE75}" name="Expenses"/>
    <tableColumn id="9" xr3:uid="{966A351C-FAB0-4147-8C1C-26E1049D8547}" name="Payment Method"/>
    <tableColumn id="10" xr3:uid="{972D9F38-348A-4DD0-A5ED-525585728732}" name="Customer Typ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212C900-2537-43D4-B104-1B06466F768F}" name="Table2_1" displayName="Table2_1" ref="A1:M1002" tableType="queryTable" totalsRowCount="1">
  <autoFilter ref="A1:M1001" xr:uid="{8212C900-2537-43D4-B104-1B06466F768F}"/>
  <tableColumns count="13">
    <tableColumn id="1" xr3:uid="{F25EE90F-3280-4D49-870B-1ECCFA79B2EF}" uniqueName="1" name="Transaction ID" queryTableFieldId="1" dataDxfId="34" totalsRowDxfId="33"/>
    <tableColumn id="2" xr3:uid="{6F5D5CA3-FF98-41E5-AE3B-732097F94587}" uniqueName="2" name="Date" queryTableFieldId="2" dataDxfId="32" totalsRowDxfId="31"/>
    <tableColumn id="3" xr3:uid="{3790E478-E51F-4015-9A8C-02BE5E561E01}" uniqueName="3" name="City" queryTableFieldId="3" dataDxfId="30" totalsRowDxfId="29"/>
    <tableColumn id="4" xr3:uid="{F5E225CC-3867-4959-BCCA-977EF07FC217}" uniqueName="4" name="Product Category" queryTableFieldId="4" dataDxfId="28" totalsRowDxfId="27"/>
    <tableColumn id="5" xr3:uid="{B3C29E87-0218-487F-8D26-E9D67C2DD52E}" uniqueName="5" name="Product Name" queryTableFieldId="5" dataDxfId="26" totalsRowDxfId="25"/>
    <tableColumn id="6" xr3:uid="{81E92286-4E5E-42B1-AA36-66811A6AE3E4}" uniqueName="6" name="Salesperson" queryTableFieldId="6" dataDxfId="24" totalsRowDxfId="23"/>
    <tableColumn id="7" xr3:uid="{8C197E9F-9848-48A9-AB8F-9F4CC0A01279}" uniqueName="7" name="Revenue" queryTableFieldId="7"/>
    <tableColumn id="8" xr3:uid="{3DB8BC45-A6BD-4317-83A1-4957A2B2A178}" uniqueName="8" name="Expenses" queryTableFieldId="8"/>
    <tableColumn id="9" xr3:uid="{67201B93-A372-42F0-B831-C31D2F518314}" uniqueName="9" name="Payment Method" queryTableFieldId="9" dataDxfId="22" totalsRowDxfId="21"/>
    <tableColumn id="10" xr3:uid="{2334BEFB-D299-4453-B82E-13B0388D9EDF}" uniqueName="10" name="Customer Type" queryTableFieldId="10" dataDxfId="20" totalsRowDxfId="19"/>
    <tableColumn id="11" xr3:uid="{F2165BC0-B35E-4A58-A237-DB87A8E179D0}" uniqueName="11" name="Profit" queryTableFieldId="11"/>
    <tableColumn id="12" xr3:uid="{32AD9035-EF45-4BE3-94A3-6084ABBA8FDB}" uniqueName="12" name="Profit Margin" queryTableFieldId="12"/>
    <tableColumn id="13" xr3:uid="{70FA3C71-08E7-424D-BF29-4E1C0BC9F38F}" uniqueName="13" name="Column1" queryTableFieldId="13" dataDxf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1"/>
  <sheetViews>
    <sheetView workbookViewId="0">
      <selection sqref="A1:J1011"/>
    </sheetView>
  </sheetViews>
  <sheetFormatPr defaultRowHeight="14.5" x14ac:dyDescent="0.35"/>
  <cols>
    <col min="1" max="1" width="14.90625" customWidth="1"/>
    <col min="2" max="2" width="10.453125" bestFit="1" customWidth="1"/>
    <col min="3" max="3" width="12.08984375" bestFit="1" customWidth="1"/>
    <col min="4" max="4" width="17.36328125" customWidth="1"/>
    <col min="5" max="5" width="14.81640625" customWidth="1"/>
    <col min="6" max="6" width="12.81640625" customWidth="1"/>
    <col min="7" max="7" width="12" bestFit="1" customWidth="1"/>
    <col min="8" max="8" width="11.08984375" bestFit="1" customWidth="1"/>
    <col min="9" max="9" width="17.453125" customWidth="1"/>
    <col min="10" max="10" width="15.453125" customWidth="1"/>
  </cols>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t="s">
        <v>13</v>
      </c>
      <c r="E2" t="s">
        <v>14</v>
      </c>
      <c r="F2" t="s">
        <v>15</v>
      </c>
      <c r="G2" t="s">
        <v>16</v>
      </c>
      <c r="H2" t="s">
        <v>17</v>
      </c>
      <c r="I2" t="s">
        <v>18</v>
      </c>
      <c r="J2" t="s">
        <v>19</v>
      </c>
    </row>
    <row r="3" spans="1:10" x14ac:dyDescent="0.35">
      <c r="A3" t="s">
        <v>20</v>
      </c>
      <c r="B3" t="s">
        <v>21</v>
      </c>
      <c r="C3" t="s">
        <v>22</v>
      </c>
      <c r="D3" t="s">
        <v>23</v>
      </c>
      <c r="E3" t="s">
        <v>24</v>
      </c>
      <c r="F3" t="s">
        <v>25</v>
      </c>
      <c r="G3" t="s">
        <v>26</v>
      </c>
      <c r="H3" t="s">
        <v>27</v>
      </c>
      <c r="I3" t="s">
        <v>18</v>
      </c>
      <c r="J3" t="s">
        <v>19</v>
      </c>
    </row>
    <row r="4" spans="1:10" x14ac:dyDescent="0.35">
      <c r="A4" t="s">
        <v>28</v>
      </c>
      <c r="B4" t="s">
        <v>29</v>
      </c>
      <c r="C4" t="s">
        <v>12</v>
      </c>
      <c r="D4" t="s">
        <v>23</v>
      </c>
      <c r="E4" t="s">
        <v>14</v>
      </c>
      <c r="F4" t="s">
        <v>25</v>
      </c>
      <c r="G4" t="s">
        <v>30</v>
      </c>
      <c r="H4" t="s">
        <v>31</v>
      </c>
      <c r="I4" t="s">
        <v>32</v>
      </c>
      <c r="J4" t="s">
        <v>33</v>
      </c>
    </row>
    <row r="5" spans="1:10" x14ac:dyDescent="0.35">
      <c r="A5" t="s">
        <v>34</v>
      </c>
      <c r="B5" t="s">
        <v>35</v>
      </c>
      <c r="C5" t="s">
        <v>22</v>
      </c>
      <c r="D5" t="s">
        <v>36</v>
      </c>
      <c r="E5" t="s">
        <v>37</v>
      </c>
      <c r="F5" t="s">
        <v>38</v>
      </c>
      <c r="G5" t="s">
        <v>39</v>
      </c>
      <c r="H5" t="s">
        <v>40</v>
      </c>
      <c r="I5" t="s">
        <v>18</v>
      </c>
      <c r="J5" t="s">
        <v>41</v>
      </c>
    </row>
    <row r="6" spans="1:10" x14ac:dyDescent="0.35">
      <c r="A6" t="s">
        <v>42</v>
      </c>
      <c r="B6" t="s">
        <v>43</v>
      </c>
      <c r="C6" t="s">
        <v>22</v>
      </c>
      <c r="D6" t="s">
        <v>44</v>
      </c>
      <c r="E6" t="s">
        <v>45</v>
      </c>
      <c r="F6" t="s">
        <v>46</v>
      </c>
      <c r="G6" t="s">
        <v>47</v>
      </c>
      <c r="H6" t="s">
        <v>48</v>
      </c>
      <c r="I6" t="s">
        <v>49</v>
      </c>
      <c r="J6" t="s">
        <v>33</v>
      </c>
    </row>
    <row r="7" spans="1:10" x14ac:dyDescent="0.35">
      <c r="A7" t="s">
        <v>50</v>
      </c>
      <c r="B7" t="s">
        <v>51</v>
      </c>
      <c r="C7" t="s">
        <v>52</v>
      </c>
      <c r="D7" t="s">
        <v>53</v>
      </c>
      <c r="E7" t="s">
        <v>45</v>
      </c>
      <c r="F7" t="s">
        <v>15</v>
      </c>
      <c r="G7" t="s">
        <v>54</v>
      </c>
      <c r="H7" t="s">
        <v>55</v>
      </c>
      <c r="I7" t="s">
        <v>49</v>
      </c>
      <c r="J7" t="s">
        <v>19</v>
      </c>
    </row>
    <row r="8" spans="1:10" x14ac:dyDescent="0.35">
      <c r="A8" t="s">
        <v>56</v>
      </c>
      <c r="B8" t="s">
        <v>57</v>
      </c>
      <c r="C8" t="s">
        <v>52</v>
      </c>
      <c r="D8" t="s">
        <v>36</v>
      </c>
      <c r="E8" t="s">
        <v>45</v>
      </c>
      <c r="F8" t="s">
        <v>38</v>
      </c>
      <c r="G8" t="s">
        <v>58</v>
      </c>
      <c r="H8" t="s">
        <v>59</v>
      </c>
      <c r="I8" t="s">
        <v>18</v>
      </c>
      <c r="J8" t="s">
        <v>33</v>
      </c>
    </row>
    <row r="9" spans="1:10" x14ac:dyDescent="0.35">
      <c r="A9" t="s">
        <v>60</v>
      </c>
      <c r="B9" t="s">
        <v>61</v>
      </c>
      <c r="C9" t="s">
        <v>22</v>
      </c>
      <c r="D9" t="s">
        <v>13</v>
      </c>
      <c r="E9" t="s">
        <v>24</v>
      </c>
      <c r="F9" t="s">
        <v>38</v>
      </c>
      <c r="G9" t="s">
        <v>62</v>
      </c>
      <c r="H9" t="s">
        <v>63</v>
      </c>
      <c r="I9" t="s">
        <v>18</v>
      </c>
      <c r="J9" t="s">
        <v>64</v>
      </c>
    </row>
    <row r="10" spans="1:10" x14ac:dyDescent="0.35">
      <c r="A10" t="s">
        <v>65</v>
      </c>
      <c r="B10" t="s">
        <v>66</v>
      </c>
      <c r="C10" t="s">
        <v>67</v>
      </c>
      <c r="D10" t="s">
        <v>36</v>
      </c>
      <c r="E10" t="s">
        <v>45</v>
      </c>
      <c r="F10" t="s">
        <v>15</v>
      </c>
      <c r="G10" t="s">
        <v>68</v>
      </c>
      <c r="H10" t="s">
        <v>69</v>
      </c>
      <c r="I10" t="s">
        <v>49</v>
      </c>
      <c r="J10" t="s">
        <v>41</v>
      </c>
    </row>
    <row r="11" spans="1:10" x14ac:dyDescent="0.35">
      <c r="A11" t="s">
        <v>70</v>
      </c>
      <c r="B11" t="s">
        <v>71</v>
      </c>
      <c r="C11" t="s">
        <v>72</v>
      </c>
      <c r="D11" t="s">
        <v>73</v>
      </c>
      <c r="E11" t="s">
        <v>37</v>
      </c>
      <c r="F11" t="s">
        <v>74</v>
      </c>
      <c r="G11" t="s">
        <v>75</v>
      </c>
      <c r="H11" t="s">
        <v>76</v>
      </c>
      <c r="I11" t="s">
        <v>32</v>
      </c>
      <c r="J11" t="s">
        <v>41</v>
      </c>
    </row>
    <row r="12" spans="1:10" x14ac:dyDescent="0.35">
      <c r="A12" t="s">
        <v>77</v>
      </c>
      <c r="B12" t="s">
        <v>78</v>
      </c>
      <c r="C12" t="s">
        <v>12</v>
      </c>
      <c r="D12" t="s">
        <v>13</v>
      </c>
      <c r="E12" t="s">
        <v>45</v>
      </c>
      <c r="F12" t="s">
        <v>79</v>
      </c>
      <c r="G12" t="s">
        <v>80</v>
      </c>
      <c r="H12" t="s">
        <v>81</v>
      </c>
      <c r="I12" t="s">
        <v>49</v>
      </c>
      <c r="J12" t="s">
        <v>19</v>
      </c>
    </row>
    <row r="13" spans="1:10" x14ac:dyDescent="0.35">
      <c r="A13" t="s">
        <v>82</v>
      </c>
      <c r="B13" t="s">
        <v>83</v>
      </c>
      <c r="C13" t="s">
        <v>12</v>
      </c>
      <c r="D13" t="s">
        <v>36</v>
      </c>
      <c r="E13" t="s">
        <v>14</v>
      </c>
      <c r="F13" t="s">
        <v>46</v>
      </c>
      <c r="G13" t="s">
        <v>84</v>
      </c>
      <c r="H13" t="s">
        <v>85</v>
      </c>
      <c r="I13" t="s">
        <v>32</v>
      </c>
      <c r="J13" t="s">
        <v>64</v>
      </c>
    </row>
    <row r="14" spans="1:10" x14ac:dyDescent="0.35">
      <c r="A14" t="s">
        <v>86</v>
      </c>
      <c r="B14" t="s">
        <v>61</v>
      </c>
      <c r="C14" t="s">
        <v>12</v>
      </c>
      <c r="D14" t="s">
        <v>44</v>
      </c>
      <c r="E14" t="s">
        <v>45</v>
      </c>
      <c r="F14" t="s">
        <v>46</v>
      </c>
      <c r="G14" t="s">
        <v>87</v>
      </c>
      <c r="H14" t="s">
        <v>88</v>
      </c>
      <c r="I14" t="s">
        <v>18</v>
      </c>
      <c r="J14" t="s">
        <v>19</v>
      </c>
    </row>
    <row r="15" spans="1:10" x14ac:dyDescent="0.35">
      <c r="A15" t="s">
        <v>89</v>
      </c>
      <c r="B15" t="s">
        <v>90</v>
      </c>
      <c r="C15" t="s">
        <v>67</v>
      </c>
      <c r="D15" t="s">
        <v>13</v>
      </c>
      <c r="E15" t="s">
        <v>37</v>
      </c>
      <c r="F15" t="s">
        <v>25</v>
      </c>
      <c r="G15" t="s">
        <v>91</v>
      </c>
      <c r="H15" t="s">
        <v>92</v>
      </c>
      <c r="I15" t="s">
        <v>49</v>
      </c>
      <c r="J15" t="s">
        <v>19</v>
      </c>
    </row>
    <row r="16" spans="1:10" x14ac:dyDescent="0.35">
      <c r="A16" t="s">
        <v>93</v>
      </c>
      <c r="B16" t="s">
        <v>94</v>
      </c>
      <c r="C16" t="s">
        <v>22</v>
      </c>
      <c r="D16" t="s">
        <v>73</v>
      </c>
      <c r="E16" t="s">
        <v>37</v>
      </c>
      <c r="F16" t="s">
        <v>38</v>
      </c>
      <c r="G16" t="s">
        <v>95</v>
      </c>
      <c r="H16" t="s">
        <v>96</v>
      </c>
      <c r="I16" t="s">
        <v>49</v>
      </c>
      <c r="J16" t="s">
        <v>64</v>
      </c>
    </row>
    <row r="17" spans="1:10" x14ac:dyDescent="0.35">
      <c r="A17" t="s">
        <v>97</v>
      </c>
      <c r="B17" t="s">
        <v>98</v>
      </c>
      <c r="C17" t="s">
        <v>99</v>
      </c>
      <c r="D17" t="s">
        <v>44</v>
      </c>
      <c r="E17" t="s">
        <v>37</v>
      </c>
      <c r="F17" t="s">
        <v>79</v>
      </c>
      <c r="G17" t="s">
        <v>100</v>
      </c>
      <c r="H17" t="s">
        <v>101</v>
      </c>
      <c r="I17" t="s">
        <v>49</v>
      </c>
      <c r="J17" t="s">
        <v>19</v>
      </c>
    </row>
    <row r="18" spans="1:10" x14ac:dyDescent="0.35">
      <c r="A18" t="s">
        <v>102</v>
      </c>
      <c r="B18" t="s">
        <v>103</v>
      </c>
      <c r="C18" t="s">
        <v>72</v>
      </c>
      <c r="D18" t="s">
        <v>53</v>
      </c>
      <c r="E18" t="s">
        <v>37</v>
      </c>
      <c r="F18" t="s">
        <v>46</v>
      </c>
      <c r="G18" t="s">
        <v>104</v>
      </c>
      <c r="H18" t="s">
        <v>105</v>
      </c>
      <c r="I18" t="s">
        <v>32</v>
      </c>
      <c r="J18" t="s">
        <v>41</v>
      </c>
    </row>
    <row r="19" spans="1:10" x14ac:dyDescent="0.35">
      <c r="A19" t="s">
        <v>106</v>
      </c>
      <c r="B19" t="s">
        <v>107</v>
      </c>
      <c r="C19" t="s">
        <v>108</v>
      </c>
      <c r="D19" t="s">
        <v>53</v>
      </c>
      <c r="E19" t="s">
        <v>109</v>
      </c>
      <c r="F19" t="s">
        <v>46</v>
      </c>
      <c r="G19" t="s">
        <v>110</v>
      </c>
      <c r="H19" t="s">
        <v>111</v>
      </c>
      <c r="I19" t="s">
        <v>32</v>
      </c>
      <c r="J19" t="s">
        <v>33</v>
      </c>
    </row>
    <row r="20" spans="1:10" x14ac:dyDescent="0.35">
      <c r="A20" t="s">
        <v>112</v>
      </c>
      <c r="B20" t="s">
        <v>113</v>
      </c>
      <c r="C20" t="s">
        <v>108</v>
      </c>
      <c r="D20" t="s">
        <v>36</v>
      </c>
      <c r="E20" t="s">
        <v>14</v>
      </c>
      <c r="F20" t="s">
        <v>79</v>
      </c>
      <c r="G20" t="s">
        <v>114</v>
      </c>
      <c r="H20" t="s">
        <v>115</v>
      </c>
      <c r="I20" t="s">
        <v>18</v>
      </c>
      <c r="J20" t="s">
        <v>41</v>
      </c>
    </row>
    <row r="21" spans="1:10" x14ac:dyDescent="0.35">
      <c r="A21" t="s">
        <v>116</v>
      </c>
      <c r="B21" t="s">
        <v>117</v>
      </c>
      <c r="C21" t="s">
        <v>72</v>
      </c>
      <c r="D21" t="s">
        <v>23</v>
      </c>
      <c r="E21" t="s">
        <v>37</v>
      </c>
      <c r="F21" t="s">
        <v>25</v>
      </c>
      <c r="G21" t="s">
        <v>118</v>
      </c>
      <c r="H21" t="s">
        <v>119</v>
      </c>
      <c r="I21" t="s">
        <v>49</v>
      </c>
      <c r="J21" t="s">
        <v>19</v>
      </c>
    </row>
    <row r="22" spans="1:10" x14ac:dyDescent="0.35">
      <c r="A22" t="s">
        <v>120</v>
      </c>
      <c r="B22" t="s">
        <v>121</v>
      </c>
      <c r="C22" t="s">
        <v>22</v>
      </c>
      <c r="D22" t="s">
        <v>53</v>
      </c>
      <c r="E22" t="s">
        <v>37</v>
      </c>
      <c r="F22" t="s">
        <v>15</v>
      </c>
      <c r="G22" t="s">
        <v>122</v>
      </c>
      <c r="H22" t="s">
        <v>123</v>
      </c>
      <c r="I22" t="s">
        <v>32</v>
      </c>
      <c r="J22" t="s">
        <v>64</v>
      </c>
    </row>
    <row r="23" spans="1:10" x14ac:dyDescent="0.35">
      <c r="A23" t="s">
        <v>124</v>
      </c>
      <c r="B23" t="s">
        <v>125</v>
      </c>
      <c r="C23" t="s">
        <v>12</v>
      </c>
      <c r="D23" t="s">
        <v>23</v>
      </c>
      <c r="E23" t="s">
        <v>45</v>
      </c>
      <c r="F23" t="s">
        <v>46</v>
      </c>
      <c r="G23" t="s">
        <v>126</v>
      </c>
      <c r="H23" t="s">
        <v>127</v>
      </c>
      <c r="I23" t="s">
        <v>49</v>
      </c>
      <c r="J23" t="s">
        <v>19</v>
      </c>
    </row>
    <row r="24" spans="1:10" x14ac:dyDescent="0.35">
      <c r="A24" t="s">
        <v>128</v>
      </c>
      <c r="B24" t="s">
        <v>129</v>
      </c>
      <c r="C24" t="s">
        <v>22</v>
      </c>
      <c r="D24" t="s">
        <v>36</v>
      </c>
      <c r="E24" t="s">
        <v>109</v>
      </c>
      <c r="F24" t="s">
        <v>15</v>
      </c>
      <c r="G24" t="s">
        <v>130</v>
      </c>
      <c r="H24" t="s">
        <v>131</v>
      </c>
      <c r="I24" t="s">
        <v>18</v>
      </c>
      <c r="J24" t="s">
        <v>19</v>
      </c>
    </row>
    <row r="25" spans="1:10" x14ac:dyDescent="0.35">
      <c r="A25" t="s">
        <v>132</v>
      </c>
      <c r="B25" t="s">
        <v>133</v>
      </c>
      <c r="C25" t="s">
        <v>12</v>
      </c>
      <c r="D25" t="s">
        <v>53</v>
      </c>
      <c r="E25" t="s">
        <v>134</v>
      </c>
      <c r="F25" t="s">
        <v>15</v>
      </c>
      <c r="G25" t="s">
        <v>135</v>
      </c>
      <c r="H25" t="s">
        <v>136</v>
      </c>
      <c r="I25" t="s">
        <v>49</v>
      </c>
      <c r="J25" t="s">
        <v>19</v>
      </c>
    </row>
    <row r="26" spans="1:10" x14ac:dyDescent="0.35">
      <c r="A26" t="s">
        <v>137</v>
      </c>
      <c r="B26" t="s">
        <v>138</v>
      </c>
      <c r="C26" t="s">
        <v>67</v>
      </c>
      <c r="D26" t="s">
        <v>73</v>
      </c>
      <c r="E26" t="s">
        <v>134</v>
      </c>
      <c r="F26" t="s">
        <v>74</v>
      </c>
      <c r="G26" t="s">
        <v>139</v>
      </c>
      <c r="H26" t="s">
        <v>140</v>
      </c>
      <c r="I26" t="s">
        <v>49</v>
      </c>
      <c r="J26" t="s">
        <v>33</v>
      </c>
    </row>
    <row r="27" spans="1:10" x14ac:dyDescent="0.35">
      <c r="A27" t="s">
        <v>141</v>
      </c>
      <c r="B27" t="s">
        <v>142</v>
      </c>
      <c r="C27" t="s">
        <v>108</v>
      </c>
      <c r="D27" t="s">
        <v>23</v>
      </c>
      <c r="E27" t="s">
        <v>37</v>
      </c>
      <c r="F27" t="s">
        <v>79</v>
      </c>
      <c r="G27" t="s">
        <v>143</v>
      </c>
      <c r="H27" t="s">
        <v>144</v>
      </c>
      <c r="I27" t="s">
        <v>18</v>
      </c>
      <c r="J27" t="s">
        <v>19</v>
      </c>
    </row>
    <row r="28" spans="1:10" x14ac:dyDescent="0.35">
      <c r="A28" t="s">
        <v>145</v>
      </c>
      <c r="B28" t="s">
        <v>146</v>
      </c>
      <c r="C28" t="s">
        <v>108</v>
      </c>
      <c r="D28" t="s">
        <v>44</v>
      </c>
      <c r="E28" t="s">
        <v>134</v>
      </c>
      <c r="F28" t="s">
        <v>15</v>
      </c>
      <c r="G28" t="s">
        <v>147</v>
      </c>
      <c r="H28" t="s">
        <v>148</v>
      </c>
      <c r="I28" t="s">
        <v>18</v>
      </c>
      <c r="J28" t="s">
        <v>41</v>
      </c>
    </row>
    <row r="29" spans="1:10" x14ac:dyDescent="0.35">
      <c r="A29" t="s">
        <v>149</v>
      </c>
      <c r="B29" t="s">
        <v>150</v>
      </c>
      <c r="C29" t="s">
        <v>108</v>
      </c>
      <c r="D29" t="s">
        <v>73</v>
      </c>
      <c r="E29" t="s">
        <v>37</v>
      </c>
      <c r="F29" t="s">
        <v>79</v>
      </c>
      <c r="G29" t="s">
        <v>151</v>
      </c>
      <c r="H29" t="s">
        <v>152</v>
      </c>
      <c r="I29" t="s">
        <v>32</v>
      </c>
      <c r="J29" t="s">
        <v>19</v>
      </c>
    </row>
    <row r="30" spans="1:10" x14ac:dyDescent="0.35">
      <c r="A30" t="s">
        <v>153</v>
      </c>
      <c r="B30" t="s">
        <v>154</v>
      </c>
      <c r="C30" t="s">
        <v>99</v>
      </c>
      <c r="D30" t="s">
        <v>44</v>
      </c>
      <c r="E30" t="s">
        <v>37</v>
      </c>
      <c r="F30" t="s">
        <v>25</v>
      </c>
      <c r="G30" t="s">
        <v>155</v>
      </c>
      <c r="H30" t="s">
        <v>156</v>
      </c>
      <c r="I30" t="s">
        <v>32</v>
      </c>
      <c r="J30" t="s">
        <v>33</v>
      </c>
    </row>
    <row r="31" spans="1:10" x14ac:dyDescent="0.35">
      <c r="A31" t="s">
        <v>157</v>
      </c>
      <c r="B31" t="s">
        <v>158</v>
      </c>
      <c r="C31" t="s">
        <v>12</v>
      </c>
      <c r="D31" t="s">
        <v>23</v>
      </c>
      <c r="E31" t="s">
        <v>109</v>
      </c>
      <c r="F31" t="s">
        <v>46</v>
      </c>
      <c r="G31" t="s">
        <v>159</v>
      </c>
      <c r="H31" t="s">
        <v>160</v>
      </c>
      <c r="I31" t="s">
        <v>18</v>
      </c>
      <c r="J31" t="s">
        <v>41</v>
      </c>
    </row>
    <row r="32" spans="1:10" x14ac:dyDescent="0.35">
      <c r="A32" t="s">
        <v>161</v>
      </c>
      <c r="B32" t="s">
        <v>162</v>
      </c>
      <c r="C32" t="s">
        <v>67</v>
      </c>
      <c r="D32" t="s">
        <v>13</v>
      </c>
      <c r="E32" t="s">
        <v>109</v>
      </c>
      <c r="F32" t="s">
        <v>79</v>
      </c>
      <c r="G32" t="s">
        <v>163</v>
      </c>
      <c r="H32" t="s">
        <v>164</v>
      </c>
      <c r="I32" t="s">
        <v>32</v>
      </c>
      <c r="J32" t="s">
        <v>41</v>
      </c>
    </row>
    <row r="33" spans="1:10" x14ac:dyDescent="0.35">
      <c r="A33" t="s">
        <v>165</v>
      </c>
      <c r="B33" t="s">
        <v>166</v>
      </c>
      <c r="C33" t="s">
        <v>108</v>
      </c>
      <c r="D33" t="s">
        <v>13</v>
      </c>
      <c r="E33" t="s">
        <v>24</v>
      </c>
      <c r="F33" t="s">
        <v>38</v>
      </c>
      <c r="G33" t="s">
        <v>167</v>
      </c>
      <c r="H33" t="s">
        <v>168</v>
      </c>
      <c r="I33" t="s">
        <v>32</v>
      </c>
      <c r="J33" t="s">
        <v>33</v>
      </c>
    </row>
    <row r="34" spans="1:10" x14ac:dyDescent="0.35">
      <c r="A34" t="s">
        <v>169</v>
      </c>
      <c r="B34" t="s">
        <v>170</v>
      </c>
      <c r="C34" t="s">
        <v>52</v>
      </c>
      <c r="D34" t="s">
        <v>23</v>
      </c>
      <c r="E34" t="s">
        <v>14</v>
      </c>
      <c r="F34" t="s">
        <v>25</v>
      </c>
      <c r="G34" t="s">
        <v>171</v>
      </c>
      <c r="H34" t="s">
        <v>172</v>
      </c>
      <c r="I34" t="s">
        <v>32</v>
      </c>
      <c r="J34" t="s">
        <v>33</v>
      </c>
    </row>
    <row r="35" spans="1:10" x14ac:dyDescent="0.35">
      <c r="A35" t="s">
        <v>173</v>
      </c>
      <c r="B35" t="s">
        <v>174</v>
      </c>
      <c r="C35" t="s">
        <v>22</v>
      </c>
      <c r="D35" t="s">
        <v>53</v>
      </c>
      <c r="E35" t="s">
        <v>14</v>
      </c>
      <c r="F35" t="s">
        <v>46</v>
      </c>
      <c r="G35" t="s">
        <v>175</v>
      </c>
      <c r="H35" t="s">
        <v>176</v>
      </c>
      <c r="I35" t="s">
        <v>32</v>
      </c>
      <c r="J35" t="s">
        <v>41</v>
      </c>
    </row>
    <row r="36" spans="1:10" x14ac:dyDescent="0.35">
      <c r="A36" t="s">
        <v>177</v>
      </c>
      <c r="B36" t="s">
        <v>178</v>
      </c>
      <c r="C36" t="s">
        <v>67</v>
      </c>
      <c r="D36" t="s">
        <v>44</v>
      </c>
      <c r="E36" t="s">
        <v>37</v>
      </c>
      <c r="F36" t="s">
        <v>46</v>
      </c>
      <c r="G36" t="s">
        <v>179</v>
      </c>
      <c r="H36" t="s">
        <v>180</v>
      </c>
      <c r="I36" t="s">
        <v>18</v>
      </c>
      <c r="J36" t="s">
        <v>41</v>
      </c>
    </row>
    <row r="37" spans="1:10" x14ac:dyDescent="0.35">
      <c r="A37" t="s">
        <v>181</v>
      </c>
      <c r="B37" t="s">
        <v>182</v>
      </c>
      <c r="C37" t="s">
        <v>108</v>
      </c>
      <c r="D37" t="s">
        <v>36</v>
      </c>
      <c r="E37" t="s">
        <v>24</v>
      </c>
      <c r="F37" t="s">
        <v>74</v>
      </c>
      <c r="G37" t="s">
        <v>183</v>
      </c>
      <c r="H37" t="s">
        <v>184</v>
      </c>
      <c r="I37" t="s">
        <v>49</v>
      </c>
      <c r="J37" t="s">
        <v>41</v>
      </c>
    </row>
    <row r="38" spans="1:10" x14ac:dyDescent="0.35">
      <c r="A38" t="s">
        <v>185</v>
      </c>
      <c r="B38" t="s">
        <v>186</v>
      </c>
      <c r="C38" t="s">
        <v>12</v>
      </c>
      <c r="D38" t="s">
        <v>73</v>
      </c>
      <c r="E38" t="s">
        <v>14</v>
      </c>
      <c r="F38" t="s">
        <v>15</v>
      </c>
      <c r="G38" t="s">
        <v>187</v>
      </c>
      <c r="H38" t="s">
        <v>188</v>
      </c>
      <c r="I38" t="s">
        <v>18</v>
      </c>
      <c r="J38" t="s">
        <v>19</v>
      </c>
    </row>
    <row r="39" spans="1:10" x14ac:dyDescent="0.35">
      <c r="A39" t="s">
        <v>189</v>
      </c>
      <c r="B39" t="s">
        <v>190</v>
      </c>
      <c r="C39" t="s">
        <v>72</v>
      </c>
      <c r="D39" t="s">
        <v>44</v>
      </c>
      <c r="E39" t="s">
        <v>109</v>
      </c>
      <c r="F39" t="s">
        <v>38</v>
      </c>
      <c r="G39" t="s">
        <v>191</v>
      </c>
      <c r="H39" t="s">
        <v>192</v>
      </c>
      <c r="I39" t="s">
        <v>32</v>
      </c>
      <c r="J39" t="s">
        <v>64</v>
      </c>
    </row>
    <row r="40" spans="1:10" x14ac:dyDescent="0.35">
      <c r="A40" t="s">
        <v>193</v>
      </c>
      <c r="B40" t="s">
        <v>125</v>
      </c>
      <c r="C40" t="s">
        <v>108</v>
      </c>
      <c r="D40" t="s">
        <v>73</v>
      </c>
      <c r="E40" t="s">
        <v>24</v>
      </c>
      <c r="F40" t="s">
        <v>46</v>
      </c>
      <c r="G40" t="s">
        <v>194</v>
      </c>
      <c r="H40" t="s">
        <v>195</v>
      </c>
      <c r="I40" t="s">
        <v>49</v>
      </c>
      <c r="J40" t="s">
        <v>33</v>
      </c>
    </row>
    <row r="41" spans="1:10" x14ac:dyDescent="0.35">
      <c r="A41" t="s">
        <v>196</v>
      </c>
      <c r="B41" t="s">
        <v>197</v>
      </c>
      <c r="C41" t="s">
        <v>67</v>
      </c>
      <c r="D41" t="s">
        <v>13</v>
      </c>
      <c r="E41" t="s">
        <v>45</v>
      </c>
      <c r="F41" t="s">
        <v>46</v>
      </c>
      <c r="G41" t="s">
        <v>198</v>
      </c>
      <c r="H41" t="s">
        <v>199</v>
      </c>
      <c r="I41" t="s">
        <v>49</v>
      </c>
      <c r="J41" t="s">
        <v>33</v>
      </c>
    </row>
    <row r="42" spans="1:10" x14ac:dyDescent="0.35">
      <c r="A42" t="s">
        <v>200</v>
      </c>
      <c r="B42" t="s">
        <v>201</v>
      </c>
      <c r="C42" t="s">
        <v>72</v>
      </c>
      <c r="D42" t="s">
        <v>73</v>
      </c>
      <c r="E42" t="s">
        <v>24</v>
      </c>
      <c r="F42" t="s">
        <v>74</v>
      </c>
      <c r="G42" t="s">
        <v>202</v>
      </c>
      <c r="H42" t="s">
        <v>203</v>
      </c>
      <c r="I42" t="s">
        <v>18</v>
      </c>
      <c r="J42" t="s">
        <v>19</v>
      </c>
    </row>
    <row r="43" spans="1:10" x14ac:dyDescent="0.35">
      <c r="A43" t="s">
        <v>204</v>
      </c>
      <c r="B43" t="s">
        <v>205</v>
      </c>
      <c r="C43" t="s">
        <v>12</v>
      </c>
      <c r="D43" t="s">
        <v>53</v>
      </c>
      <c r="E43" t="s">
        <v>14</v>
      </c>
      <c r="F43" t="s">
        <v>38</v>
      </c>
      <c r="G43" t="s">
        <v>206</v>
      </c>
      <c r="H43" t="s">
        <v>207</v>
      </c>
      <c r="I43" t="s">
        <v>32</v>
      </c>
      <c r="J43" t="s">
        <v>33</v>
      </c>
    </row>
    <row r="44" spans="1:10" x14ac:dyDescent="0.35">
      <c r="A44" t="s">
        <v>208</v>
      </c>
      <c r="B44" t="s">
        <v>209</v>
      </c>
      <c r="C44" t="s">
        <v>12</v>
      </c>
      <c r="D44" t="s">
        <v>53</v>
      </c>
      <c r="E44" t="s">
        <v>109</v>
      </c>
      <c r="F44" t="s">
        <v>25</v>
      </c>
      <c r="G44" t="s">
        <v>210</v>
      </c>
      <c r="H44" t="s">
        <v>211</v>
      </c>
      <c r="I44" t="s">
        <v>49</v>
      </c>
      <c r="J44" t="s">
        <v>64</v>
      </c>
    </row>
    <row r="45" spans="1:10" x14ac:dyDescent="0.35">
      <c r="A45" t="s">
        <v>212</v>
      </c>
      <c r="B45" t="s">
        <v>213</v>
      </c>
      <c r="C45" t="s">
        <v>12</v>
      </c>
      <c r="D45" t="s">
        <v>44</v>
      </c>
      <c r="E45" t="s">
        <v>134</v>
      </c>
      <c r="F45" t="s">
        <v>38</v>
      </c>
      <c r="G45" t="s">
        <v>214</v>
      </c>
      <c r="H45" t="s">
        <v>215</v>
      </c>
      <c r="I45" t="s">
        <v>32</v>
      </c>
      <c r="J45" t="s">
        <v>19</v>
      </c>
    </row>
    <row r="46" spans="1:10" x14ac:dyDescent="0.35">
      <c r="A46" t="s">
        <v>216</v>
      </c>
      <c r="B46" t="s">
        <v>217</v>
      </c>
      <c r="C46" t="s">
        <v>72</v>
      </c>
      <c r="D46" t="s">
        <v>73</v>
      </c>
      <c r="E46" t="s">
        <v>134</v>
      </c>
      <c r="F46" t="s">
        <v>46</v>
      </c>
      <c r="G46" t="s">
        <v>218</v>
      </c>
      <c r="H46" t="s">
        <v>219</v>
      </c>
      <c r="I46" t="s">
        <v>18</v>
      </c>
      <c r="J46" t="s">
        <v>64</v>
      </c>
    </row>
    <row r="47" spans="1:10" x14ac:dyDescent="0.35">
      <c r="A47" t="s">
        <v>220</v>
      </c>
      <c r="B47" t="s">
        <v>221</v>
      </c>
      <c r="C47" t="s">
        <v>12</v>
      </c>
      <c r="D47" t="s">
        <v>73</v>
      </c>
      <c r="E47" t="s">
        <v>14</v>
      </c>
      <c r="F47" t="s">
        <v>38</v>
      </c>
      <c r="G47" t="s">
        <v>222</v>
      </c>
      <c r="H47" t="s">
        <v>223</v>
      </c>
      <c r="I47" t="s">
        <v>49</v>
      </c>
      <c r="J47" t="s">
        <v>33</v>
      </c>
    </row>
    <row r="48" spans="1:10" x14ac:dyDescent="0.35">
      <c r="A48" t="s">
        <v>224</v>
      </c>
      <c r="B48" t="s">
        <v>225</v>
      </c>
      <c r="C48" t="s">
        <v>22</v>
      </c>
      <c r="D48" t="s">
        <v>53</v>
      </c>
      <c r="E48" t="s">
        <v>109</v>
      </c>
      <c r="F48" t="s">
        <v>46</v>
      </c>
      <c r="G48" t="s">
        <v>226</v>
      </c>
      <c r="H48" t="s">
        <v>227</v>
      </c>
      <c r="I48" t="s">
        <v>49</v>
      </c>
      <c r="J48" t="s">
        <v>33</v>
      </c>
    </row>
    <row r="49" spans="1:10" x14ac:dyDescent="0.35">
      <c r="A49" t="s">
        <v>228</v>
      </c>
      <c r="B49" t="s">
        <v>229</v>
      </c>
      <c r="C49" t="s">
        <v>67</v>
      </c>
      <c r="D49" t="s">
        <v>53</v>
      </c>
      <c r="E49" t="s">
        <v>24</v>
      </c>
      <c r="F49" t="s">
        <v>38</v>
      </c>
      <c r="G49" t="s">
        <v>230</v>
      </c>
      <c r="H49" t="s">
        <v>231</v>
      </c>
      <c r="I49" t="s">
        <v>18</v>
      </c>
      <c r="J49" t="s">
        <v>41</v>
      </c>
    </row>
    <row r="50" spans="1:10" x14ac:dyDescent="0.35">
      <c r="A50" t="s">
        <v>232</v>
      </c>
      <c r="B50" t="s">
        <v>233</v>
      </c>
      <c r="C50" t="s">
        <v>67</v>
      </c>
      <c r="D50" t="s">
        <v>23</v>
      </c>
      <c r="E50" t="s">
        <v>37</v>
      </c>
      <c r="F50" t="s">
        <v>25</v>
      </c>
      <c r="G50" t="s">
        <v>234</v>
      </c>
      <c r="H50" t="s">
        <v>235</v>
      </c>
      <c r="I50" t="s">
        <v>18</v>
      </c>
      <c r="J50" t="s">
        <v>64</v>
      </c>
    </row>
    <row r="51" spans="1:10" x14ac:dyDescent="0.35">
      <c r="A51" t="s">
        <v>236</v>
      </c>
      <c r="B51" t="s">
        <v>237</v>
      </c>
      <c r="C51" t="s">
        <v>99</v>
      </c>
      <c r="D51" t="s">
        <v>23</v>
      </c>
      <c r="E51" t="s">
        <v>45</v>
      </c>
      <c r="F51" t="s">
        <v>25</v>
      </c>
      <c r="G51" t="s">
        <v>238</v>
      </c>
      <c r="H51" t="s">
        <v>239</v>
      </c>
      <c r="I51" t="s">
        <v>32</v>
      </c>
      <c r="J51" t="s">
        <v>33</v>
      </c>
    </row>
    <row r="52" spans="1:10" x14ac:dyDescent="0.35">
      <c r="A52" t="s">
        <v>240</v>
      </c>
      <c r="B52" t="s">
        <v>241</v>
      </c>
      <c r="C52" t="s">
        <v>12</v>
      </c>
      <c r="D52" t="s">
        <v>36</v>
      </c>
      <c r="E52" t="s">
        <v>37</v>
      </c>
      <c r="F52" t="s">
        <v>25</v>
      </c>
      <c r="G52" t="s">
        <v>242</v>
      </c>
      <c r="H52" t="s">
        <v>243</v>
      </c>
      <c r="I52" t="s">
        <v>18</v>
      </c>
      <c r="J52" t="s">
        <v>41</v>
      </c>
    </row>
    <row r="53" spans="1:10" x14ac:dyDescent="0.35">
      <c r="A53" t="s">
        <v>244</v>
      </c>
      <c r="B53" t="s">
        <v>245</v>
      </c>
      <c r="C53" t="s">
        <v>67</v>
      </c>
      <c r="D53" t="s">
        <v>13</v>
      </c>
      <c r="E53" t="s">
        <v>37</v>
      </c>
      <c r="F53" t="s">
        <v>79</v>
      </c>
      <c r="G53" t="s">
        <v>246</v>
      </c>
      <c r="H53" t="s">
        <v>247</v>
      </c>
      <c r="I53" t="s">
        <v>18</v>
      </c>
      <c r="J53" t="s">
        <v>41</v>
      </c>
    </row>
    <row r="54" spans="1:10" x14ac:dyDescent="0.35">
      <c r="A54" t="s">
        <v>248</v>
      </c>
      <c r="B54" t="s">
        <v>249</v>
      </c>
      <c r="C54" t="s">
        <v>12</v>
      </c>
      <c r="D54" t="s">
        <v>44</v>
      </c>
      <c r="E54" t="s">
        <v>45</v>
      </c>
      <c r="F54" t="s">
        <v>15</v>
      </c>
      <c r="G54" t="s">
        <v>250</v>
      </c>
      <c r="H54" t="s">
        <v>251</v>
      </c>
      <c r="I54" t="s">
        <v>49</v>
      </c>
      <c r="J54" t="s">
        <v>33</v>
      </c>
    </row>
    <row r="55" spans="1:10" x14ac:dyDescent="0.35">
      <c r="A55" t="s">
        <v>252</v>
      </c>
      <c r="B55" t="s">
        <v>253</v>
      </c>
      <c r="C55" t="s">
        <v>52</v>
      </c>
      <c r="D55" t="s">
        <v>23</v>
      </c>
      <c r="E55" t="s">
        <v>134</v>
      </c>
      <c r="F55" t="s">
        <v>15</v>
      </c>
      <c r="G55" t="s">
        <v>254</v>
      </c>
      <c r="H55" t="s">
        <v>255</v>
      </c>
      <c r="I55" t="s">
        <v>18</v>
      </c>
      <c r="J55" t="s">
        <v>19</v>
      </c>
    </row>
    <row r="56" spans="1:10" x14ac:dyDescent="0.35">
      <c r="A56" t="s">
        <v>256</v>
      </c>
      <c r="B56" t="s">
        <v>257</v>
      </c>
      <c r="C56" t="s">
        <v>99</v>
      </c>
      <c r="D56" t="s">
        <v>13</v>
      </c>
      <c r="E56" t="s">
        <v>45</v>
      </c>
      <c r="F56" t="s">
        <v>79</v>
      </c>
      <c r="G56" t="s">
        <v>258</v>
      </c>
      <c r="H56" t="s">
        <v>259</v>
      </c>
      <c r="I56" t="s">
        <v>18</v>
      </c>
      <c r="J56" t="s">
        <v>64</v>
      </c>
    </row>
    <row r="57" spans="1:10" x14ac:dyDescent="0.35">
      <c r="A57" t="s">
        <v>260</v>
      </c>
      <c r="B57" t="s">
        <v>261</v>
      </c>
      <c r="C57" t="s">
        <v>67</v>
      </c>
      <c r="D57" t="s">
        <v>44</v>
      </c>
      <c r="E57" t="s">
        <v>109</v>
      </c>
      <c r="F57" t="s">
        <v>15</v>
      </c>
      <c r="G57" t="s">
        <v>262</v>
      </c>
      <c r="H57" t="s">
        <v>263</v>
      </c>
      <c r="I57" t="s">
        <v>18</v>
      </c>
      <c r="J57" t="s">
        <v>64</v>
      </c>
    </row>
    <row r="58" spans="1:10" x14ac:dyDescent="0.35">
      <c r="A58" t="s">
        <v>264</v>
      </c>
      <c r="B58" t="s">
        <v>265</v>
      </c>
      <c r="C58" t="s">
        <v>72</v>
      </c>
      <c r="D58" t="s">
        <v>36</v>
      </c>
      <c r="E58" t="s">
        <v>109</v>
      </c>
      <c r="F58" t="s">
        <v>79</v>
      </c>
      <c r="G58" t="s">
        <v>266</v>
      </c>
      <c r="H58" t="s">
        <v>267</v>
      </c>
      <c r="I58" t="s">
        <v>18</v>
      </c>
      <c r="J58" t="s">
        <v>19</v>
      </c>
    </row>
    <row r="59" spans="1:10" x14ac:dyDescent="0.35">
      <c r="A59" t="s">
        <v>268</v>
      </c>
      <c r="B59" t="s">
        <v>129</v>
      </c>
      <c r="C59" t="s">
        <v>99</v>
      </c>
      <c r="D59" t="s">
        <v>13</v>
      </c>
      <c r="E59" t="s">
        <v>37</v>
      </c>
      <c r="F59" t="s">
        <v>74</v>
      </c>
      <c r="G59" t="s">
        <v>269</v>
      </c>
      <c r="H59" t="s">
        <v>270</v>
      </c>
      <c r="I59" t="s">
        <v>18</v>
      </c>
      <c r="J59" t="s">
        <v>19</v>
      </c>
    </row>
    <row r="60" spans="1:10" x14ac:dyDescent="0.35">
      <c r="A60" t="s">
        <v>271</v>
      </c>
      <c r="B60" t="s">
        <v>213</v>
      </c>
      <c r="C60" t="s">
        <v>99</v>
      </c>
      <c r="D60" t="s">
        <v>23</v>
      </c>
      <c r="E60" t="s">
        <v>109</v>
      </c>
      <c r="F60" t="s">
        <v>79</v>
      </c>
      <c r="G60" t="s">
        <v>272</v>
      </c>
      <c r="H60" t="s">
        <v>273</v>
      </c>
      <c r="I60" t="s">
        <v>49</v>
      </c>
      <c r="J60" t="s">
        <v>19</v>
      </c>
    </row>
    <row r="61" spans="1:10" x14ac:dyDescent="0.35">
      <c r="A61" t="s">
        <v>274</v>
      </c>
      <c r="B61" t="s">
        <v>275</v>
      </c>
      <c r="C61" t="s">
        <v>99</v>
      </c>
      <c r="D61" t="s">
        <v>44</v>
      </c>
      <c r="E61" t="s">
        <v>24</v>
      </c>
      <c r="F61" t="s">
        <v>15</v>
      </c>
      <c r="G61" t="s">
        <v>276</v>
      </c>
      <c r="H61" t="s">
        <v>277</v>
      </c>
      <c r="I61" t="s">
        <v>49</v>
      </c>
      <c r="J61" t="s">
        <v>64</v>
      </c>
    </row>
    <row r="62" spans="1:10" x14ac:dyDescent="0.35">
      <c r="A62" t="s">
        <v>278</v>
      </c>
      <c r="B62" t="s">
        <v>279</v>
      </c>
      <c r="C62" t="s">
        <v>67</v>
      </c>
      <c r="D62" t="s">
        <v>73</v>
      </c>
      <c r="E62" t="s">
        <v>14</v>
      </c>
      <c r="F62" t="s">
        <v>38</v>
      </c>
      <c r="G62" t="s">
        <v>280</v>
      </c>
      <c r="H62" t="s">
        <v>281</v>
      </c>
      <c r="I62" t="s">
        <v>49</v>
      </c>
      <c r="J62" t="s">
        <v>19</v>
      </c>
    </row>
    <row r="63" spans="1:10" x14ac:dyDescent="0.35">
      <c r="A63" t="s">
        <v>282</v>
      </c>
      <c r="B63" t="s">
        <v>241</v>
      </c>
      <c r="C63" t="s">
        <v>72</v>
      </c>
      <c r="D63" t="s">
        <v>44</v>
      </c>
      <c r="E63" t="s">
        <v>14</v>
      </c>
      <c r="F63" t="s">
        <v>25</v>
      </c>
      <c r="G63" t="s">
        <v>283</v>
      </c>
      <c r="H63" t="s">
        <v>284</v>
      </c>
      <c r="I63" t="s">
        <v>49</v>
      </c>
      <c r="J63" t="s">
        <v>64</v>
      </c>
    </row>
    <row r="64" spans="1:10" x14ac:dyDescent="0.35">
      <c r="A64" t="s">
        <v>285</v>
      </c>
      <c r="B64" t="s">
        <v>286</v>
      </c>
      <c r="C64" t="s">
        <v>52</v>
      </c>
      <c r="D64" t="s">
        <v>13</v>
      </c>
      <c r="E64" t="s">
        <v>109</v>
      </c>
      <c r="F64" t="s">
        <v>46</v>
      </c>
      <c r="G64" t="s">
        <v>287</v>
      </c>
      <c r="H64" t="s">
        <v>288</v>
      </c>
      <c r="I64" t="s">
        <v>18</v>
      </c>
      <c r="J64" t="s">
        <v>64</v>
      </c>
    </row>
    <row r="65" spans="1:10" x14ac:dyDescent="0.35">
      <c r="A65" t="s">
        <v>289</v>
      </c>
      <c r="B65" t="s">
        <v>290</v>
      </c>
      <c r="C65" t="s">
        <v>12</v>
      </c>
      <c r="D65" t="s">
        <v>36</v>
      </c>
      <c r="E65" t="s">
        <v>14</v>
      </c>
      <c r="F65" t="s">
        <v>74</v>
      </c>
      <c r="G65" t="s">
        <v>291</v>
      </c>
      <c r="H65" t="s">
        <v>292</v>
      </c>
      <c r="I65" t="s">
        <v>32</v>
      </c>
      <c r="J65" t="s">
        <v>33</v>
      </c>
    </row>
    <row r="66" spans="1:10" x14ac:dyDescent="0.35">
      <c r="A66" t="s">
        <v>293</v>
      </c>
      <c r="B66" t="s">
        <v>294</v>
      </c>
      <c r="C66" t="s">
        <v>12</v>
      </c>
      <c r="D66" t="s">
        <v>44</v>
      </c>
      <c r="E66" t="s">
        <v>134</v>
      </c>
      <c r="F66" t="s">
        <v>46</v>
      </c>
      <c r="G66" t="s">
        <v>295</v>
      </c>
      <c r="H66" t="s">
        <v>296</v>
      </c>
      <c r="I66" t="s">
        <v>49</v>
      </c>
      <c r="J66" t="s">
        <v>33</v>
      </c>
    </row>
    <row r="67" spans="1:10" x14ac:dyDescent="0.35">
      <c r="A67" t="s">
        <v>297</v>
      </c>
      <c r="B67" t="s">
        <v>298</v>
      </c>
      <c r="C67" t="s">
        <v>67</v>
      </c>
      <c r="D67" t="s">
        <v>44</v>
      </c>
      <c r="E67" t="s">
        <v>134</v>
      </c>
      <c r="F67" t="s">
        <v>46</v>
      </c>
      <c r="G67" t="s">
        <v>299</v>
      </c>
      <c r="H67" t="s">
        <v>300</v>
      </c>
      <c r="I67" t="s">
        <v>49</v>
      </c>
      <c r="J67" t="s">
        <v>19</v>
      </c>
    </row>
    <row r="68" spans="1:10" x14ac:dyDescent="0.35">
      <c r="A68" t="s">
        <v>301</v>
      </c>
      <c r="B68" t="s">
        <v>302</v>
      </c>
      <c r="C68" t="s">
        <v>99</v>
      </c>
      <c r="D68" t="s">
        <v>23</v>
      </c>
      <c r="E68" t="s">
        <v>109</v>
      </c>
      <c r="F68" t="s">
        <v>46</v>
      </c>
      <c r="G68" t="s">
        <v>303</v>
      </c>
      <c r="H68" t="s">
        <v>304</v>
      </c>
      <c r="I68" t="s">
        <v>32</v>
      </c>
      <c r="J68" t="s">
        <v>41</v>
      </c>
    </row>
    <row r="69" spans="1:10" x14ac:dyDescent="0.35">
      <c r="A69" t="s">
        <v>305</v>
      </c>
      <c r="B69" t="s">
        <v>174</v>
      </c>
      <c r="C69" t="s">
        <v>99</v>
      </c>
      <c r="D69" t="s">
        <v>23</v>
      </c>
      <c r="E69" t="s">
        <v>109</v>
      </c>
      <c r="F69" t="s">
        <v>79</v>
      </c>
      <c r="G69" t="s">
        <v>306</v>
      </c>
      <c r="H69" t="s">
        <v>307</v>
      </c>
      <c r="I69" t="s">
        <v>32</v>
      </c>
      <c r="J69" t="s">
        <v>41</v>
      </c>
    </row>
    <row r="70" spans="1:10" x14ac:dyDescent="0.35">
      <c r="A70" t="s">
        <v>308</v>
      </c>
      <c r="B70" t="s">
        <v>309</v>
      </c>
      <c r="C70" t="s">
        <v>22</v>
      </c>
      <c r="D70" t="s">
        <v>23</v>
      </c>
      <c r="E70" t="s">
        <v>14</v>
      </c>
      <c r="F70" t="s">
        <v>25</v>
      </c>
      <c r="G70" t="s">
        <v>310</v>
      </c>
      <c r="H70" t="s">
        <v>311</v>
      </c>
      <c r="I70" t="s">
        <v>49</v>
      </c>
      <c r="J70" t="s">
        <v>64</v>
      </c>
    </row>
    <row r="71" spans="1:10" x14ac:dyDescent="0.35">
      <c r="A71" t="s">
        <v>312</v>
      </c>
      <c r="B71" t="s">
        <v>313</v>
      </c>
      <c r="C71" t="s">
        <v>22</v>
      </c>
      <c r="D71" t="s">
        <v>44</v>
      </c>
      <c r="E71" t="s">
        <v>134</v>
      </c>
      <c r="F71" t="s">
        <v>15</v>
      </c>
      <c r="G71" t="s">
        <v>314</v>
      </c>
      <c r="H71" t="s">
        <v>315</v>
      </c>
      <c r="I71" t="s">
        <v>18</v>
      </c>
      <c r="J71" t="s">
        <v>64</v>
      </c>
    </row>
    <row r="72" spans="1:10" x14ac:dyDescent="0.35">
      <c r="A72" t="s">
        <v>316</v>
      </c>
      <c r="B72" t="s">
        <v>317</v>
      </c>
      <c r="C72" t="s">
        <v>12</v>
      </c>
      <c r="D72" t="s">
        <v>53</v>
      </c>
      <c r="E72" t="s">
        <v>109</v>
      </c>
      <c r="F72" t="s">
        <v>25</v>
      </c>
      <c r="G72" t="s">
        <v>318</v>
      </c>
      <c r="H72" t="s">
        <v>319</v>
      </c>
      <c r="I72" t="s">
        <v>49</v>
      </c>
      <c r="J72" t="s">
        <v>19</v>
      </c>
    </row>
    <row r="73" spans="1:10" x14ac:dyDescent="0.35">
      <c r="A73" t="s">
        <v>320</v>
      </c>
      <c r="B73" t="s">
        <v>321</v>
      </c>
      <c r="C73" t="s">
        <v>12</v>
      </c>
      <c r="D73" t="s">
        <v>44</v>
      </c>
      <c r="E73" t="s">
        <v>134</v>
      </c>
      <c r="F73" t="s">
        <v>15</v>
      </c>
      <c r="G73" t="s">
        <v>322</v>
      </c>
      <c r="H73" t="s">
        <v>323</v>
      </c>
      <c r="I73" t="s">
        <v>18</v>
      </c>
      <c r="J73" t="s">
        <v>33</v>
      </c>
    </row>
    <row r="74" spans="1:10" x14ac:dyDescent="0.35">
      <c r="A74" t="s">
        <v>324</v>
      </c>
      <c r="B74" t="s">
        <v>309</v>
      </c>
      <c r="C74" t="s">
        <v>12</v>
      </c>
      <c r="D74" t="s">
        <v>13</v>
      </c>
      <c r="E74" t="s">
        <v>134</v>
      </c>
      <c r="F74" t="s">
        <v>15</v>
      </c>
      <c r="G74" t="s">
        <v>325</v>
      </c>
      <c r="H74" t="s">
        <v>326</v>
      </c>
      <c r="I74" t="s">
        <v>18</v>
      </c>
      <c r="J74" t="s">
        <v>41</v>
      </c>
    </row>
    <row r="75" spans="1:10" x14ac:dyDescent="0.35">
      <c r="A75" t="s">
        <v>327</v>
      </c>
      <c r="B75" t="s">
        <v>328</v>
      </c>
      <c r="C75" t="s">
        <v>108</v>
      </c>
      <c r="D75" t="s">
        <v>73</v>
      </c>
      <c r="E75" t="s">
        <v>45</v>
      </c>
      <c r="F75" t="s">
        <v>15</v>
      </c>
      <c r="G75" t="s">
        <v>329</v>
      </c>
      <c r="H75" t="s">
        <v>330</v>
      </c>
      <c r="I75" t="s">
        <v>49</v>
      </c>
      <c r="J75" t="s">
        <v>33</v>
      </c>
    </row>
    <row r="76" spans="1:10" x14ac:dyDescent="0.35">
      <c r="A76" t="s">
        <v>331</v>
      </c>
      <c r="B76" t="s">
        <v>332</v>
      </c>
      <c r="C76" t="s">
        <v>67</v>
      </c>
      <c r="D76" t="s">
        <v>73</v>
      </c>
      <c r="E76" t="s">
        <v>134</v>
      </c>
      <c r="F76" t="s">
        <v>79</v>
      </c>
      <c r="G76" t="s">
        <v>333</v>
      </c>
      <c r="H76" t="s">
        <v>334</v>
      </c>
      <c r="I76" t="s">
        <v>18</v>
      </c>
      <c r="J76" t="s">
        <v>19</v>
      </c>
    </row>
    <row r="77" spans="1:10" x14ac:dyDescent="0.35">
      <c r="A77" t="s">
        <v>335</v>
      </c>
      <c r="B77" t="s">
        <v>336</v>
      </c>
      <c r="C77" t="s">
        <v>99</v>
      </c>
      <c r="D77" t="s">
        <v>53</v>
      </c>
      <c r="E77" t="s">
        <v>45</v>
      </c>
      <c r="F77" t="s">
        <v>46</v>
      </c>
      <c r="G77" t="s">
        <v>337</v>
      </c>
      <c r="H77" t="s">
        <v>338</v>
      </c>
      <c r="I77" t="s">
        <v>32</v>
      </c>
      <c r="J77" t="s">
        <v>64</v>
      </c>
    </row>
    <row r="78" spans="1:10" x14ac:dyDescent="0.35">
      <c r="A78" t="s">
        <v>339</v>
      </c>
      <c r="B78" t="s">
        <v>78</v>
      </c>
      <c r="C78" t="s">
        <v>22</v>
      </c>
      <c r="D78" t="s">
        <v>44</v>
      </c>
      <c r="E78" t="s">
        <v>14</v>
      </c>
      <c r="F78" t="s">
        <v>38</v>
      </c>
      <c r="G78" t="s">
        <v>340</v>
      </c>
      <c r="H78" t="s">
        <v>341</v>
      </c>
      <c r="I78" t="s">
        <v>49</v>
      </c>
      <c r="J78" t="s">
        <v>19</v>
      </c>
    </row>
    <row r="79" spans="1:10" x14ac:dyDescent="0.35">
      <c r="A79" t="s">
        <v>342</v>
      </c>
      <c r="B79" t="s">
        <v>343</v>
      </c>
      <c r="C79" t="s">
        <v>99</v>
      </c>
      <c r="D79" t="s">
        <v>23</v>
      </c>
      <c r="E79" t="s">
        <v>45</v>
      </c>
      <c r="F79" t="s">
        <v>74</v>
      </c>
      <c r="G79" t="s">
        <v>344</v>
      </c>
      <c r="H79" t="s">
        <v>345</v>
      </c>
      <c r="I79" t="s">
        <v>32</v>
      </c>
      <c r="J79" t="s">
        <v>19</v>
      </c>
    </row>
    <row r="80" spans="1:10" x14ac:dyDescent="0.35">
      <c r="A80" t="s">
        <v>346</v>
      </c>
      <c r="B80" t="s">
        <v>347</v>
      </c>
      <c r="C80" t="s">
        <v>22</v>
      </c>
      <c r="D80" t="s">
        <v>44</v>
      </c>
      <c r="E80" t="s">
        <v>14</v>
      </c>
      <c r="F80" t="s">
        <v>38</v>
      </c>
      <c r="G80" t="s">
        <v>348</v>
      </c>
      <c r="H80" t="s">
        <v>349</v>
      </c>
      <c r="I80" t="s">
        <v>18</v>
      </c>
      <c r="J80" t="s">
        <v>19</v>
      </c>
    </row>
    <row r="81" spans="1:10" x14ac:dyDescent="0.35">
      <c r="A81" t="s">
        <v>350</v>
      </c>
      <c r="B81" t="s">
        <v>351</v>
      </c>
      <c r="C81" t="s">
        <v>12</v>
      </c>
      <c r="D81" t="s">
        <v>53</v>
      </c>
      <c r="E81" t="s">
        <v>24</v>
      </c>
      <c r="F81" t="s">
        <v>25</v>
      </c>
      <c r="G81" t="s">
        <v>352</v>
      </c>
      <c r="H81" t="s">
        <v>353</v>
      </c>
      <c r="I81" t="s">
        <v>18</v>
      </c>
      <c r="J81" t="s">
        <v>41</v>
      </c>
    </row>
    <row r="82" spans="1:10" x14ac:dyDescent="0.35">
      <c r="A82" t="s">
        <v>354</v>
      </c>
      <c r="B82" t="s">
        <v>321</v>
      </c>
      <c r="C82" t="s">
        <v>52</v>
      </c>
      <c r="D82" t="s">
        <v>13</v>
      </c>
      <c r="E82" t="s">
        <v>14</v>
      </c>
      <c r="F82" t="s">
        <v>46</v>
      </c>
      <c r="G82" t="s">
        <v>355</v>
      </c>
      <c r="H82" t="s">
        <v>356</v>
      </c>
      <c r="I82" t="s">
        <v>32</v>
      </c>
      <c r="J82" t="s">
        <v>41</v>
      </c>
    </row>
    <row r="83" spans="1:10" x14ac:dyDescent="0.35">
      <c r="A83" t="s">
        <v>357</v>
      </c>
      <c r="B83" t="s">
        <v>358</v>
      </c>
      <c r="C83" t="s">
        <v>108</v>
      </c>
      <c r="D83" t="s">
        <v>44</v>
      </c>
      <c r="E83" t="s">
        <v>45</v>
      </c>
      <c r="F83" t="s">
        <v>15</v>
      </c>
      <c r="G83" t="s">
        <v>359</v>
      </c>
      <c r="H83" t="s">
        <v>360</v>
      </c>
      <c r="I83" t="s">
        <v>32</v>
      </c>
      <c r="J83" t="s">
        <v>41</v>
      </c>
    </row>
    <row r="84" spans="1:10" x14ac:dyDescent="0.35">
      <c r="A84" t="s">
        <v>361</v>
      </c>
      <c r="B84" t="s">
        <v>166</v>
      </c>
      <c r="C84" t="s">
        <v>22</v>
      </c>
      <c r="D84" t="s">
        <v>53</v>
      </c>
      <c r="E84" t="s">
        <v>24</v>
      </c>
      <c r="F84" t="s">
        <v>38</v>
      </c>
      <c r="G84" t="s">
        <v>362</v>
      </c>
      <c r="H84" t="s">
        <v>363</v>
      </c>
      <c r="I84" t="s">
        <v>32</v>
      </c>
      <c r="J84" t="s">
        <v>33</v>
      </c>
    </row>
    <row r="85" spans="1:10" x14ac:dyDescent="0.35">
      <c r="A85" t="s">
        <v>364</v>
      </c>
      <c r="B85" t="s">
        <v>209</v>
      </c>
      <c r="C85" t="s">
        <v>67</v>
      </c>
      <c r="D85" t="s">
        <v>53</v>
      </c>
      <c r="E85" t="s">
        <v>24</v>
      </c>
      <c r="F85" t="s">
        <v>46</v>
      </c>
      <c r="G85" t="s">
        <v>365</v>
      </c>
      <c r="H85" t="s">
        <v>366</v>
      </c>
      <c r="I85" t="s">
        <v>32</v>
      </c>
      <c r="J85" t="s">
        <v>33</v>
      </c>
    </row>
    <row r="86" spans="1:10" x14ac:dyDescent="0.35">
      <c r="A86" t="s">
        <v>367</v>
      </c>
      <c r="B86" t="s">
        <v>368</v>
      </c>
      <c r="C86" t="s">
        <v>67</v>
      </c>
      <c r="D86" t="s">
        <v>36</v>
      </c>
      <c r="E86" t="s">
        <v>24</v>
      </c>
      <c r="F86" t="s">
        <v>38</v>
      </c>
      <c r="G86" t="s">
        <v>369</v>
      </c>
      <c r="H86" t="s">
        <v>370</v>
      </c>
      <c r="I86" t="s">
        <v>49</v>
      </c>
      <c r="J86" t="s">
        <v>64</v>
      </c>
    </row>
    <row r="87" spans="1:10" x14ac:dyDescent="0.35">
      <c r="A87" t="s">
        <v>371</v>
      </c>
      <c r="B87" t="s">
        <v>294</v>
      </c>
      <c r="C87" t="s">
        <v>22</v>
      </c>
      <c r="D87" t="s">
        <v>73</v>
      </c>
      <c r="E87" t="s">
        <v>37</v>
      </c>
      <c r="F87" t="s">
        <v>15</v>
      </c>
      <c r="G87" t="s">
        <v>372</v>
      </c>
      <c r="H87" t="s">
        <v>373</v>
      </c>
      <c r="I87" t="s">
        <v>18</v>
      </c>
      <c r="J87" t="s">
        <v>33</v>
      </c>
    </row>
    <row r="88" spans="1:10" x14ac:dyDescent="0.35">
      <c r="A88" t="s">
        <v>374</v>
      </c>
      <c r="B88" t="s">
        <v>375</v>
      </c>
      <c r="C88" t="s">
        <v>67</v>
      </c>
      <c r="D88" t="s">
        <v>36</v>
      </c>
      <c r="E88" t="s">
        <v>134</v>
      </c>
      <c r="F88" t="s">
        <v>46</v>
      </c>
      <c r="G88" t="s">
        <v>376</v>
      </c>
      <c r="H88" t="s">
        <v>377</v>
      </c>
      <c r="I88" t="s">
        <v>49</v>
      </c>
      <c r="J88" t="s">
        <v>33</v>
      </c>
    </row>
    <row r="89" spans="1:10" x14ac:dyDescent="0.35">
      <c r="A89" t="s">
        <v>378</v>
      </c>
      <c r="B89" t="s">
        <v>379</v>
      </c>
      <c r="C89" t="s">
        <v>99</v>
      </c>
      <c r="D89" t="s">
        <v>36</v>
      </c>
      <c r="E89" t="s">
        <v>14</v>
      </c>
      <c r="F89" t="s">
        <v>15</v>
      </c>
      <c r="G89" t="s">
        <v>380</v>
      </c>
      <c r="H89" t="s">
        <v>381</v>
      </c>
      <c r="I89" t="s">
        <v>18</v>
      </c>
      <c r="J89" t="s">
        <v>41</v>
      </c>
    </row>
    <row r="90" spans="1:10" x14ac:dyDescent="0.35">
      <c r="A90" t="s">
        <v>382</v>
      </c>
      <c r="B90" t="s">
        <v>383</v>
      </c>
      <c r="C90" t="s">
        <v>99</v>
      </c>
      <c r="D90" t="s">
        <v>36</v>
      </c>
      <c r="E90" t="s">
        <v>37</v>
      </c>
      <c r="F90" t="s">
        <v>15</v>
      </c>
      <c r="G90" t="s">
        <v>384</v>
      </c>
      <c r="H90" t="s">
        <v>385</v>
      </c>
      <c r="I90" t="s">
        <v>18</v>
      </c>
      <c r="J90" t="s">
        <v>64</v>
      </c>
    </row>
    <row r="91" spans="1:10" x14ac:dyDescent="0.35">
      <c r="A91" t="s">
        <v>386</v>
      </c>
      <c r="B91" t="s">
        <v>90</v>
      </c>
      <c r="C91" t="s">
        <v>99</v>
      </c>
      <c r="D91" t="s">
        <v>36</v>
      </c>
      <c r="E91" t="s">
        <v>14</v>
      </c>
      <c r="F91" t="s">
        <v>46</v>
      </c>
      <c r="G91" t="s">
        <v>387</v>
      </c>
      <c r="H91" t="s">
        <v>388</v>
      </c>
      <c r="I91" t="s">
        <v>32</v>
      </c>
      <c r="J91" t="s">
        <v>19</v>
      </c>
    </row>
    <row r="92" spans="1:10" x14ac:dyDescent="0.35">
      <c r="A92" t="s">
        <v>389</v>
      </c>
      <c r="B92" t="s">
        <v>390</v>
      </c>
      <c r="C92" t="s">
        <v>12</v>
      </c>
      <c r="D92" t="s">
        <v>36</v>
      </c>
      <c r="E92" t="s">
        <v>24</v>
      </c>
      <c r="F92" t="s">
        <v>79</v>
      </c>
      <c r="G92" t="s">
        <v>391</v>
      </c>
      <c r="H92" t="s">
        <v>392</v>
      </c>
      <c r="I92" t="s">
        <v>32</v>
      </c>
      <c r="J92" t="s">
        <v>33</v>
      </c>
    </row>
    <row r="93" spans="1:10" x14ac:dyDescent="0.35">
      <c r="A93" t="s">
        <v>393</v>
      </c>
      <c r="B93" t="s">
        <v>394</v>
      </c>
      <c r="C93" t="s">
        <v>12</v>
      </c>
      <c r="D93" t="s">
        <v>53</v>
      </c>
      <c r="E93" t="s">
        <v>109</v>
      </c>
      <c r="F93" t="s">
        <v>79</v>
      </c>
      <c r="G93" t="s">
        <v>395</v>
      </c>
      <c r="H93" t="s">
        <v>396</v>
      </c>
      <c r="I93" t="s">
        <v>18</v>
      </c>
      <c r="J93" t="s">
        <v>33</v>
      </c>
    </row>
    <row r="94" spans="1:10" x14ac:dyDescent="0.35">
      <c r="A94" t="s">
        <v>397</v>
      </c>
      <c r="B94" t="s">
        <v>398</v>
      </c>
      <c r="C94" t="s">
        <v>22</v>
      </c>
      <c r="D94" t="s">
        <v>53</v>
      </c>
      <c r="E94" t="s">
        <v>45</v>
      </c>
      <c r="F94" t="s">
        <v>79</v>
      </c>
      <c r="G94" t="s">
        <v>399</v>
      </c>
      <c r="H94" t="s">
        <v>400</v>
      </c>
      <c r="I94" t="s">
        <v>18</v>
      </c>
      <c r="J94" t="s">
        <v>64</v>
      </c>
    </row>
    <row r="95" spans="1:10" x14ac:dyDescent="0.35">
      <c r="A95" t="s">
        <v>401</v>
      </c>
      <c r="B95" t="s">
        <v>402</v>
      </c>
      <c r="C95" t="s">
        <v>67</v>
      </c>
      <c r="D95" t="s">
        <v>73</v>
      </c>
      <c r="E95" t="s">
        <v>37</v>
      </c>
      <c r="F95" t="s">
        <v>79</v>
      </c>
      <c r="G95" t="s">
        <v>403</v>
      </c>
      <c r="H95" t="s">
        <v>404</v>
      </c>
      <c r="I95" t="s">
        <v>18</v>
      </c>
      <c r="J95" t="s">
        <v>19</v>
      </c>
    </row>
    <row r="96" spans="1:10" x14ac:dyDescent="0.35">
      <c r="A96" t="s">
        <v>405</v>
      </c>
      <c r="B96" t="s">
        <v>205</v>
      </c>
      <c r="C96" t="s">
        <v>52</v>
      </c>
      <c r="D96" t="s">
        <v>44</v>
      </c>
      <c r="E96" t="s">
        <v>37</v>
      </c>
      <c r="F96" t="s">
        <v>38</v>
      </c>
      <c r="G96" t="s">
        <v>406</v>
      </c>
      <c r="H96" t="s">
        <v>407</v>
      </c>
      <c r="I96" t="s">
        <v>49</v>
      </c>
      <c r="J96" t="s">
        <v>41</v>
      </c>
    </row>
    <row r="97" spans="1:10" x14ac:dyDescent="0.35">
      <c r="A97" t="s">
        <v>408</v>
      </c>
      <c r="B97" t="s">
        <v>275</v>
      </c>
      <c r="C97" t="s">
        <v>72</v>
      </c>
      <c r="D97" t="s">
        <v>36</v>
      </c>
      <c r="E97" t="s">
        <v>14</v>
      </c>
      <c r="F97" t="s">
        <v>38</v>
      </c>
      <c r="G97" t="s">
        <v>409</v>
      </c>
      <c r="H97" t="s">
        <v>410</v>
      </c>
      <c r="I97" t="s">
        <v>49</v>
      </c>
      <c r="J97" t="s">
        <v>33</v>
      </c>
    </row>
    <row r="98" spans="1:10" x14ac:dyDescent="0.35">
      <c r="A98" t="s">
        <v>411</v>
      </c>
      <c r="B98" t="s">
        <v>221</v>
      </c>
      <c r="C98" t="s">
        <v>72</v>
      </c>
      <c r="D98" t="s">
        <v>44</v>
      </c>
      <c r="E98" t="s">
        <v>134</v>
      </c>
      <c r="F98" t="s">
        <v>74</v>
      </c>
      <c r="G98" t="s">
        <v>412</v>
      </c>
      <c r="H98" t="s">
        <v>413</v>
      </c>
      <c r="I98" t="s">
        <v>49</v>
      </c>
      <c r="J98" t="s">
        <v>19</v>
      </c>
    </row>
    <row r="99" spans="1:10" x14ac:dyDescent="0.35">
      <c r="A99" t="s">
        <v>414</v>
      </c>
      <c r="B99" t="s">
        <v>415</v>
      </c>
      <c r="C99" t="s">
        <v>99</v>
      </c>
      <c r="D99" t="s">
        <v>36</v>
      </c>
      <c r="E99" t="s">
        <v>109</v>
      </c>
      <c r="F99" t="s">
        <v>46</v>
      </c>
      <c r="G99" t="s">
        <v>416</v>
      </c>
      <c r="H99" t="s">
        <v>417</v>
      </c>
      <c r="I99" t="s">
        <v>32</v>
      </c>
      <c r="J99" t="s">
        <v>64</v>
      </c>
    </row>
    <row r="100" spans="1:10" x14ac:dyDescent="0.35">
      <c r="A100" t="s">
        <v>418</v>
      </c>
      <c r="B100" t="s">
        <v>419</v>
      </c>
      <c r="C100" t="s">
        <v>108</v>
      </c>
      <c r="D100" t="s">
        <v>13</v>
      </c>
      <c r="E100" t="s">
        <v>45</v>
      </c>
      <c r="F100" t="s">
        <v>46</v>
      </c>
      <c r="G100" t="s">
        <v>420</v>
      </c>
      <c r="H100" t="s">
        <v>421</v>
      </c>
      <c r="I100" t="s">
        <v>32</v>
      </c>
      <c r="J100" t="s">
        <v>33</v>
      </c>
    </row>
    <row r="101" spans="1:10" x14ac:dyDescent="0.35">
      <c r="A101" t="s">
        <v>422</v>
      </c>
      <c r="B101" t="s">
        <v>162</v>
      </c>
      <c r="C101" t="s">
        <v>52</v>
      </c>
      <c r="D101" t="s">
        <v>23</v>
      </c>
      <c r="E101" t="s">
        <v>134</v>
      </c>
      <c r="F101" t="s">
        <v>25</v>
      </c>
      <c r="G101" t="s">
        <v>423</v>
      </c>
      <c r="H101" t="s">
        <v>424</v>
      </c>
      <c r="I101" t="s">
        <v>18</v>
      </c>
      <c r="J101" t="s">
        <v>64</v>
      </c>
    </row>
    <row r="102" spans="1:10" x14ac:dyDescent="0.35">
      <c r="A102" t="s">
        <v>425</v>
      </c>
      <c r="B102" t="s">
        <v>426</v>
      </c>
      <c r="C102" t="s">
        <v>12</v>
      </c>
      <c r="D102" t="s">
        <v>44</v>
      </c>
      <c r="E102" t="s">
        <v>109</v>
      </c>
      <c r="F102" t="s">
        <v>46</v>
      </c>
      <c r="G102" t="s">
        <v>427</v>
      </c>
      <c r="H102" t="s">
        <v>428</v>
      </c>
      <c r="I102" t="s">
        <v>49</v>
      </c>
      <c r="J102" t="s">
        <v>41</v>
      </c>
    </row>
    <row r="103" spans="1:10" x14ac:dyDescent="0.35">
      <c r="A103" t="s">
        <v>429</v>
      </c>
      <c r="B103" t="s">
        <v>430</v>
      </c>
      <c r="C103" t="s">
        <v>67</v>
      </c>
      <c r="D103" t="s">
        <v>36</v>
      </c>
      <c r="E103" t="s">
        <v>45</v>
      </c>
      <c r="F103" t="s">
        <v>38</v>
      </c>
      <c r="G103" t="s">
        <v>431</v>
      </c>
      <c r="H103" t="s">
        <v>432</v>
      </c>
      <c r="I103" t="s">
        <v>49</v>
      </c>
      <c r="J103" t="s">
        <v>33</v>
      </c>
    </row>
    <row r="104" spans="1:10" x14ac:dyDescent="0.35">
      <c r="A104" t="s">
        <v>433</v>
      </c>
      <c r="B104" t="s">
        <v>434</v>
      </c>
      <c r="C104" t="s">
        <v>99</v>
      </c>
      <c r="D104" t="s">
        <v>36</v>
      </c>
      <c r="E104" t="s">
        <v>24</v>
      </c>
      <c r="F104" t="s">
        <v>74</v>
      </c>
      <c r="G104" t="s">
        <v>435</v>
      </c>
      <c r="H104" t="s">
        <v>436</v>
      </c>
      <c r="I104" t="s">
        <v>32</v>
      </c>
      <c r="J104" t="s">
        <v>64</v>
      </c>
    </row>
    <row r="105" spans="1:10" x14ac:dyDescent="0.35">
      <c r="A105" t="s">
        <v>437</v>
      </c>
      <c r="B105" t="s">
        <v>438</v>
      </c>
      <c r="C105" t="s">
        <v>99</v>
      </c>
      <c r="D105" t="s">
        <v>73</v>
      </c>
      <c r="E105" t="s">
        <v>24</v>
      </c>
      <c r="F105" t="s">
        <v>38</v>
      </c>
      <c r="G105" t="s">
        <v>439</v>
      </c>
      <c r="H105" t="s">
        <v>440</v>
      </c>
      <c r="I105" t="s">
        <v>32</v>
      </c>
      <c r="J105" t="s">
        <v>64</v>
      </c>
    </row>
    <row r="106" spans="1:10" x14ac:dyDescent="0.35">
      <c r="A106" t="s">
        <v>441</v>
      </c>
      <c r="B106" t="s">
        <v>442</v>
      </c>
      <c r="C106" t="s">
        <v>22</v>
      </c>
      <c r="D106" t="s">
        <v>13</v>
      </c>
      <c r="E106" t="s">
        <v>45</v>
      </c>
      <c r="F106" t="s">
        <v>79</v>
      </c>
      <c r="G106" t="s">
        <v>443</v>
      </c>
      <c r="H106" t="s">
        <v>444</v>
      </c>
      <c r="I106" t="s">
        <v>32</v>
      </c>
      <c r="J106" t="s">
        <v>41</v>
      </c>
    </row>
    <row r="107" spans="1:10" x14ac:dyDescent="0.35">
      <c r="A107" t="s">
        <v>445</v>
      </c>
      <c r="B107" t="s">
        <v>446</v>
      </c>
      <c r="C107" t="s">
        <v>99</v>
      </c>
      <c r="D107" t="s">
        <v>13</v>
      </c>
      <c r="E107" t="s">
        <v>37</v>
      </c>
      <c r="F107" t="s">
        <v>15</v>
      </c>
      <c r="G107" t="s">
        <v>447</v>
      </c>
      <c r="H107" t="s">
        <v>448</v>
      </c>
      <c r="I107" t="s">
        <v>49</v>
      </c>
      <c r="J107" t="s">
        <v>64</v>
      </c>
    </row>
    <row r="108" spans="1:10" x14ac:dyDescent="0.35">
      <c r="A108" t="s">
        <v>449</v>
      </c>
      <c r="B108" t="s">
        <v>450</v>
      </c>
      <c r="C108" t="s">
        <v>72</v>
      </c>
      <c r="D108" t="s">
        <v>73</v>
      </c>
      <c r="E108" t="s">
        <v>14</v>
      </c>
      <c r="F108" t="s">
        <v>79</v>
      </c>
      <c r="G108" t="s">
        <v>451</v>
      </c>
      <c r="H108" t="s">
        <v>452</v>
      </c>
      <c r="I108" t="s">
        <v>49</v>
      </c>
      <c r="J108" t="s">
        <v>33</v>
      </c>
    </row>
    <row r="109" spans="1:10" x14ac:dyDescent="0.35">
      <c r="A109" t="s">
        <v>453</v>
      </c>
      <c r="B109" t="s">
        <v>454</v>
      </c>
      <c r="C109" t="s">
        <v>52</v>
      </c>
      <c r="D109" t="s">
        <v>23</v>
      </c>
      <c r="E109" t="s">
        <v>134</v>
      </c>
      <c r="F109" t="s">
        <v>25</v>
      </c>
      <c r="G109" t="s">
        <v>455</v>
      </c>
      <c r="H109" t="s">
        <v>456</v>
      </c>
      <c r="I109" t="s">
        <v>18</v>
      </c>
      <c r="J109" t="s">
        <v>19</v>
      </c>
    </row>
    <row r="110" spans="1:10" x14ac:dyDescent="0.35">
      <c r="A110" t="s">
        <v>457</v>
      </c>
      <c r="B110" t="s">
        <v>415</v>
      </c>
      <c r="C110" t="s">
        <v>72</v>
      </c>
      <c r="D110" t="s">
        <v>36</v>
      </c>
      <c r="E110" t="s">
        <v>24</v>
      </c>
      <c r="F110" t="s">
        <v>46</v>
      </c>
      <c r="G110" t="s">
        <v>458</v>
      </c>
      <c r="H110" t="s">
        <v>459</v>
      </c>
      <c r="I110" t="s">
        <v>18</v>
      </c>
      <c r="J110" t="s">
        <v>19</v>
      </c>
    </row>
    <row r="111" spans="1:10" x14ac:dyDescent="0.35">
      <c r="A111" t="s">
        <v>460</v>
      </c>
      <c r="B111" t="s">
        <v>461</v>
      </c>
      <c r="C111" t="s">
        <v>72</v>
      </c>
      <c r="D111" t="s">
        <v>36</v>
      </c>
      <c r="E111" t="s">
        <v>134</v>
      </c>
      <c r="F111" t="s">
        <v>15</v>
      </c>
      <c r="G111" t="s">
        <v>462</v>
      </c>
      <c r="H111" t="s">
        <v>463</v>
      </c>
      <c r="I111" t="s">
        <v>18</v>
      </c>
      <c r="J111" t="s">
        <v>33</v>
      </c>
    </row>
    <row r="112" spans="1:10" x14ac:dyDescent="0.35">
      <c r="A112" t="s">
        <v>464</v>
      </c>
      <c r="B112" t="s">
        <v>465</v>
      </c>
      <c r="C112" t="s">
        <v>108</v>
      </c>
      <c r="D112" t="s">
        <v>13</v>
      </c>
      <c r="E112" t="s">
        <v>24</v>
      </c>
      <c r="F112" t="s">
        <v>15</v>
      </c>
      <c r="G112" t="s">
        <v>466</v>
      </c>
      <c r="H112" t="s">
        <v>467</v>
      </c>
      <c r="I112" t="s">
        <v>49</v>
      </c>
      <c r="J112" t="s">
        <v>41</v>
      </c>
    </row>
    <row r="113" spans="1:10" x14ac:dyDescent="0.35">
      <c r="A113" t="s">
        <v>468</v>
      </c>
      <c r="B113" t="s">
        <v>469</v>
      </c>
      <c r="C113" t="s">
        <v>22</v>
      </c>
      <c r="D113" t="s">
        <v>73</v>
      </c>
      <c r="E113" t="s">
        <v>37</v>
      </c>
      <c r="F113" t="s">
        <v>15</v>
      </c>
      <c r="G113" t="s">
        <v>470</v>
      </c>
      <c r="H113" t="s">
        <v>471</v>
      </c>
      <c r="I113" t="s">
        <v>18</v>
      </c>
      <c r="J113" t="s">
        <v>19</v>
      </c>
    </row>
    <row r="114" spans="1:10" x14ac:dyDescent="0.35">
      <c r="A114" t="s">
        <v>472</v>
      </c>
      <c r="B114" t="s">
        <v>473</v>
      </c>
      <c r="C114" t="s">
        <v>99</v>
      </c>
      <c r="D114" t="s">
        <v>36</v>
      </c>
      <c r="E114" t="s">
        <v>24</v>
      </c>
      <c r="F114" t="s">
        <v>15</v>
      </c>
      <c r="G114" t="s">
        <v>474</v>
      </c>
      <c r="H114" t="s">
        <v>475</v>
      </c>
      <c r="I114" t="s">
        <v>49</v>
      </c>
      <c r="J114" t="s">
        <v>41</v>
      </c>
    </row>
    <row r="115" spans="1:10" x14ac:dyDescent="0.35">
      <c r="A115" t="s">
        <v>476</v>
      </c>
      <c r="B115" t="s">
        <v>477</v>
      </c>
      <c r="C115" t="s">
        <v>12</v>
      </c>
      <c r="D115" t="s">
        <v>53</v>
      </c>
      <c r="E115" t="s">
        <v>14</v>
      </c>
      <c r="F115" t="s">
        <v>38</v>
      </c>
      <c r="G115" t="s">
        <v>478</v>
      </c>
      <c r="H115" t="s">
        <v>479</v>
      </c>
      <c r="I115" t="s">
        <v>49</v>
      </c>
      <c r="J115" t="s">
        <v>64</v>
      </c>
    </row>
    <row r="116" spans="1:10" x14ac:dyDescent="0.35">
      <c r="A116" t="s">
        <v>480</v>
      </c>
      <c r="B116" t="s">
        <v>481</v>
      </c>
      <c r="C116" t="s">
        <v>108</v>
      </c>
      <c r="D116" t="s">
        <v>23</v>
      </c>
      <c r="E116" t="s">
        <v>45</v>
      </c>
      <c r="F116" t="s">
        <v>25</v>
      </c>
      <c r="G116" t="s">
        <v>482</v>
      </c>
      <c r="H116" t="s">
        <v>483</v>
      </c>
      <c r="I116" t="s">
        <v>49</v>
      </c>
      <c r="J116" t="s">
        <v>41</v>
      </c>
    </row>
    <row r="117" spans="1:10" x14ac:dyDescent="0.35">
      <c r="A117" t="s">
        <v>484</v>
      </c>
      <c r="B117" t="s">
        <v>485</v>
      </c>
      <c r="C117" t="s">
        <v>99</v>
      </c>
      <c r="D117" t="s">
        <v>53</v>
      </c>
      <c r="E117" t="s">
        <v>37</v>
      </c>
      <c r="F117" t="s">
        <v>38</v>
      </c>
      <c r="G117" t="s">
        <v>486</v>
      </c>
      <c r="H117" t="s">
        <v>487</v>
      </c>
      <c r="I117" t="s">
        <v>49</v>
      </c>
      <c r="J117" t="s">
        <v>41</v>
      </c>
    </row>
    <row r="118" spans="1:10" x14ac:dyDescent="0.35">
      <c r="A118" t="s">
        <v>488</v>
      </c>
      <c r="B118" t="s">
        <v>489</v>
      </c>
      <c r="C118" t="s">
        <v>52</v>
      </c>
      <c r="D118" t="s">
        <v>36</v>
      </c>
      <c r="E118" t="s">
        <v>14</v>
      </c>
      <c r="F118" t="s">
        <v>46</v>
      </c>
      <c r="G118" t="s">
        <v>490</v>
      </c>
      <c r="H118" t="s">
        <v>491</v>
      </c>
      <c r="I118" t="s">
        <v>49</v>
      </c>
      <c r="J118" t="s">
        <v>19</v>
      </c>
    </row>
    <row r="119" spans="1:10" x14ac:dyDescent="0.35">
      <c r="A119" t="s">
        <v>492</v>
      </c>
      <c r="B119" t="s">
        <v>493</v>
      </c>
      <c r="C119" t="s">
        <v>72</v>
      </c>
      <c r="D119" t="s">
        <v>53</v>
      </c>
      <c r="E119" t="s">
        <v>134</v>
      </c>
      <c r="F119" t="s">
        <v>15</v>
      </c>
      <c r="G119" t="s">
        <v>494</v>
      </c>
      <c r="H119" t="s">
        <v>495</v>
      </c>
      <c r="I119" t="s">
        <v>18</v>
      </c>
      <c r="J119" t="s">
        <v>64</v>
      </c>
    </row>
    <row r="120" spans="1:10" x14ac:dyDescent="0.35">
      <c r="A120" t="s">
        <v>496</v>
      </c>
      <c r="B120" t="s">
        <v>497</v>
      </c>
      <c r="C120" t="s">
        <v>99</v>
      </c>
      <c r="D120" t="s">
        <v>36</v>
      </c>
      <c r="E120" t="s">
        <v>134</v>
      </c>
      <c r="F120" t="s">
        <v>79</v>
      </c>
      <c r="G120" t="s">
        <v>498</v>
      </c>
      <c r="H120" t="s">
        <v>499</v>
      </c>
      <c r="I120" t="s">
        <v>49</v>
      </c>
      <c r="J120" t="s">
        <v>41</v>
      </c>
    </row>
    <row r="121" spans="1:10" x14ac:dyDescent="0.35">
      <c r="A121" t="s">
        <v>500</v>
      </c>
      <c r="B121" t="s">
        <v>461</v>
      </c>
      <c r="C121" t="s">
        <v>108</v>
      </c>
      <c r="D121" t="s">
        <v>53</v>
      </c>
      <c r="E121" t="s">
        <v>37</v>
      </c>
      <c r="F121" t="s">
        <v>15</v>
      </c>
      <c r="G121" t="s">
        <v>501</v>
      </c>
      <c r="H121" t="s">
        <v>502</v>
      </c>
      <c r="I121" t="s">
        <v>49</v>
      </c>
      <c r="J121" t="s">
        <v>41</v>
      </c>
    </row>
    <row r="122" spans="1:10" x14ac:dyDescent="0.35">
      <c r="A122" t="s">
        <v>503</v>
      </c>
      <c r="B122" t="s">
        <v>504</v>
      </c>
      <c r="C122" t="s">
        <v>108</v>
      </c>
      <c r="D122" t="s">
        <v>73</v>
      </c>
      <c r="E122" t="s">
        <v>134</v>
      </c>
      <c r="F122" t="s">
        <v>74</v>
      </c>
      <c r="G122" t="s">
        <v>505</v>
      </c>
      <c r="H122" t="s">
        <v>506</v>
      </c>
      <c r="I122" t="s">
        <v>18</v>
      </c>
      <c r="J122" t="s">
        <v>64</v>
      </c>
    </row>
    <row r="123" spans="1:10" x14ac:dyDescent="0.35">
      <c r="A123" t="s">
        <v>507</v>
      </c>
      <c r="B123" t="s">
        <v>508</v>
      </c>
      <c r="C123" t="s">
        <v>72</v>
      </c>
      <c r="D123" t="s">
        <v>53</v>
      </c>
      <c r="E123" t="s">
        <v>37</v>
      </c>
      <c r="F123" t="s">
        <v>74</v>
      </c>
      <c r="G123" t="s">
        <v>509</v>
      </c>
      <c r="H123" t="s">
        <v>510</v>
      </c>
      <c r="I123" t="s">
        <v>32</v>
      </c>
      <c r="J123" t="s">
        <v>41</v>
      </c>
    </row>
    <row r="124" spans="1:10" x14ac:dyDescent="0.35">
      <c r="A124" t="s">
        <v>511</v>
      </c>
      <c r="B124" t="s">
        <v>383</v>
      </c>
      <c r="C124" t="s">
        <v>108</v>
      </c>
      <c r="D124" t="s">
        <v>44</v>
      </c>
      <c r="E124" t="s">
        <v>109</v>
      </c>
      <c r="F124" t="s">
        <v>46</v>
      </c>
      <c r="G124" t="s">
        <v>512</v>
      </c>
      <c r="H124" t="s">
        <v>513</v>
      </c>
      <c r="I124" t="s">
        <v>18</v>
      </c>
      <c r="J124" t="s">
        <v>64</v>
      </c>
    </row>
    <row r="125" spans="1:10" x14ac:dyDescent="0.35">
      <c r="A125" t="s">
        <v>514</v>
      </c>
      <c r="B125" t="s">
        <v>515</v>
      </c>
      <c r="C125" t="s">
        <v>67</v>
      </c>
      <c r="D125" t="s">
        <v>36</v>
      </c>
      <c r="E125" t="s">
        <v>14</v>
      </c>
      <c r="F125" t="s">
        <v>79</v>
      </c>
      <c r="G125" t="s">
        <v>516</v>
      </c>
      <c r="H125" t="s">
        <v>517</v>
      </c>
      <c r="I125" t="s">
        <v>18</v>
      </c>
      <c r="J125" t="s">
        <v>19</v>
      </c>
    </row>
    <row r="126" spans="1:10" x14ac:dyDescent="0.35">
      <c r="A126" t="s">
        <v>518</v>
      </c>
      <c r="B126" t="s">
        <v>519</v>
      </c>
      <c r="C126" t="s">
        <v>22</v>
      </c>
      <c r="D126" t="s">
        <v>23</v>
      </c>
      <c r="E126" t="s">
        <v>14</v>
      </c>
      <c r="F126" t="s">
        <v>46</v>
      </c>
      <c r="G126" t="s">
        <v>520</v>
      </c>
      <c r="H126" t="s">
        <v>521</v>
      </c>
      <c r="I126" t="s">
        <v>49</v>
      </c>
      <c r="J126" t="s">
        <v>33</v>
      </c>
    </row>
    <row r="127" spans="1:10" x14ac:dyDescent="0.35">
      <c r="A127" t="s">
        <v>522</v>
      </c>
      <c r="B127" t="s">
        <v>523</v>
      </c>
      <c r="C127" t="s">
        <v>99</v>
      </c>
      <c r="D127" t="s">
        <v>23</v>
      </c>
      <c r="E127" t="s">
        <v>109</v>
      </c>
      <c r="F127" t="s">
        <v>79</v>
      </c>
      <c r="G127" t="s">
        <v>524</v>
      </c>
      <c r="H127" t="s">
        <v>525</v>
      </c>
      <c r="I127" t="s">
        <v>49</v>
      </c>
      <c r="J127" t="s">
        <v>19</v>
      </c>
    </row>
    <row r="128" spans="1:10" x14ac:dyDescent="0.35">
      <c r="A128" t="s">
        <v>526</v>
      </c>
      <c r="B128" t="s">
        <v>527</v>
      </c>
      <c r="C128" t="s">
        <v>12</v>
      </c>
      <c r="D128" t="s">
        <v>23</v>
      </c>
      <c r="E128" t="s">
        <v>14</v>
      </c>
      <c r="F128" t="s">
        <v>46</v>
      </c>
      <c r="G128" t="s">
        <v>528</v>
      </c>
      <c r="H128" t="s">
        <v>529</v>
      </c>
      <c r="I128" t="s">
        <v>49</v>
      </c>
      <c r="J128" t="s">
        <v>33</v>
      </c>
    </row>
    <row r="129" spans="1:10" x14ac:dyDescent="0.35">
      <c r="A129" t="s">
        <v>530</v>
      </c>
      <c r="B129" t="s">
        <v>531</v>
      </c>
      <c r="C129" t="s">
        <v>108</v>
      </c>
      <c r="D129" t="s">
        <v>44</v>
      </c>
      <c r="E129" t="s">
        <v>24</v>
      </c>
      <c r="F129" t="s">
        <v>74</v>
      </c>
      <c r="G129" t="s">
        <v>532</v>
      </c>
      <c r="H129" t="s">
        <v>533</v>
      </c>
      <c r="I129" t="s">
        <v>32</v>
      </c>
      <c r="J129" t="s">
        <v>64</v>
      </c>
    </row>
    <row r="130" spans="1:10" x14ac:dyDescent="0.35">
      <c r="A130" t="s">
        <v>534</v>
      </c>
      <c r="B130" t="s">
        <v>535</v>
      </c>
      <c r="C130" t="s">
        <v>67</v>
      </c>
      <c r="D130" t="s">
        <v>36</v>
      </c>
      <c r="E130" t="s">
        <v>109</v>
      </c>
      <c r="F130" t="s">
        <v>79</v>
      </c>
      <c r="G130" t="s">
        <v>536</v>
      </c>
      <c r="H130" t="s">
        <v>537</v>
      </c>
      <c r="I130" t="s">
        <v>18</v>
      </c>
      <c r="J130" t="s">
        <v>33</v>
      </c>
    </row>
    <row r="131" spans="1:10" x14ac:dyDescent="0.35">
      <c r="A131" t="s">
        <v>538</v>
      </c>
      <c r="B131" t="s">
        <v>539</v>
      </c>
      <c r="C131" t="s">
        <v>22</v>
      </c>
      <c r="D131" t="s">
        <v>36</v>
      </c>
      <c r="E131" t="s">
        <v>14</v>
      </c>
      <c r="F131" t="s">
        <v>15</v>
      </c>
      <c r="G131" t="s">
        <v>540</v>
      </c>
      <c r="H131" t="s">
        <v>541</v>
      </c>
      <c r="I131" t="s">
        <v>49</v>
      </c>
      <c r="J131" t="s">
        <v>33</v>
      </c>
    </row>
    <row r="132" spans="1:10" x14ac:dyDescent="0.35">
      <c r="A132" t="s">
        <v>542</v>
      </c>
      <c r="B132" t="s">
        <v>543</v>
      </c>
      <c r="C132" t="s">
        <v>72</v>
      </c>
      <c r="D132" t="s">
        <v>13</v>
      </c>
      <c r="E132" t="s">
        <v>37</v>
      </c>
      <c r="F132" t="s">
        <v>79</v>
      </c>
      <c r="G132" t="s">
        <v>544</v>
      </c>
      <c r="H132" t="s">
        <v>545</v>
      </c>
      <c r="I132" t="s">
        <v>32</v>
      </c>
      <c r="J132" t="s">
        <v>33</v>
      </c>
    </row>
    <row r="133" spans="1:10" x14ac:dyDescent="0.35">
      <c r="A133" t="s">
        <v>546</v>
      </c>
      <c r="B133" t="s">
        <v>547</v>
      </c>
      <c r="C133" t="s">
        <v>52</v>
      </c>
      <c r="D133" t="s">
        <v>73</v>
      </c>
      <c r="E133" t="s">
        <v>109</v>
      </c>
      <c r="F133" t="s">
        <v>25</v>
      </c>
      <c r="G133" t="s">
        <v>548</v>
      </c>
      <c r="H133" t="s">
        <v>549</v>
      </c>
      <c r="I133" t="s">
        <v>49</v>
      </c>
      <c r="J133" t="s">
        <v>19</v>
      </c>
    </row>
    <row r="134" spans="1:10" x14ac:dyDescent="0.35">
      <c r="A134" t="s">
        <v>550</v>
      </c>
      <c r="B134" t="s">
        <v>166</v>
      </c>
      <c r="C134" t="s">
        <v>67</v>
      </c>
      <c r="D134" t="s">
        <v>53</v>
      </c>
      <c r="E134" t="s">
        <v>37</v>
      </c>
      <c r="F134" t="s">
        <v>79</v>
      </c>
      <c r="G134" t="s">
        <v>551</v>
      </c>
      <c r="H134" t="s">
        <v>552</v>
      </c>
      <c r="I134" t="s">
        <v>18</v>
      </c>
      <c r="J134" t="s">
        <v>41</v>
      </c>
    </row>
    <row r="135" spans="1:10" x14ac:dyDescent="0.35">
      <c r="A135" t="s">
        <v>553</v>
      </c>
      <c r="B135" t="s">
        <v>523</v>
      </c>
      <c r="C135" t="s">
        <v>22</v>
      </c>
      <c r="D135" t="s">
        <v>53</v>
      </c>
      <c r="E135" t="s">
        <v>134</v>
      </c>
      <c r="F135" t="s">
        <v>25</v>
      </c>
      <c r="G135" t="s">
        <v>554</v>
      </c>
      <c r="H135" t="s">
        <v>555</v>
      </c>
      <c r="I135" t="s">
        <v>49</v>
      </c>
      <c r="J135" t="s">
        <v>41</v>
      </c>
    </row>
    <row r="136" spans="1:10" x14ac:dyDescent="0.35">
      <c r="A136" t="s">
        <v>556</v>
      </c>
      <c r="B136" t="s">
        <v>557</v>
      </c>
      <c r="C136" t="s">
        <v>99</v>
      </c>
      <c r="D136" t="s">
        <v>13</v>
      </c>
      <c r="E136" t="s">
        <v>134</v>
      </c>
      <c r="F136" t="s">
        <v>79</v>
      </c>
      <c r="G136" t="s">
        <v>558</v>
      </c>
      <c r="H136" t="s">
        <v>559</v>
      </c>
      <c r="I136" t="s">
        <v>18</v>
      </c>
      <c r="J136" t="s">
        <v>33</v>
      </c>
    </row>
    <row r="137" spans="1:10" x14ac:dyDescent="0.35">
      <c r="A137" t="s">
        <v>560</v>
      </c>
      <c r="B137" t="s">
        <v>561</v>
      </c>
      <c r="C137" t="s">
        <v>99</v>
      </c>
      <c r="D137" t="s">
        <v>53</v>
      </c>
      <c r="E137" t="s">
        <v>109</v>
      </c>
      <c r="F137" t="s">
        <v>15</v>
      </c>
      <c r="G137" t="s">
        <v>562</v>
      </c>
      <c r="H137" t="s">
        <v>563</v>
      </c>
      <c r="I137" t="s">
        <v>18</v>
      </c>
      <c r="J137" t="s">
        <v>33</v>
      </c>
    </row>
    <row r="138" spans="1:10" x14ac:dyDescent="0.35">
      <c r="A138" t="s">
        <v>564</v>
      </c>
      <c r="B138" t="s">
        <v>11</v>
      </c>
      <c r="C138" t="s">
        <v>72</v>
      </c>
      <c r="D138" t="s">
        <v>23</v>
      </c>
      <c r="E138" t="s">
        <v>45</v>
      </c>
      <c r="F138" t="s">
        <v>38</v>
      </c>
      <c r="G138" t="s">
        <v>565</v>
      </c>
      <c r="H138" t="s">
        <v>566</v>
      </c>
      <c r="I138" t="s">
        <v>18</v>
      </c>
      <c r="J138" t="s">
        <v>19</v>
      </c>
    </row>
    <row r="139" spans="1:10" x14ac:dyDescent="0.35">
      <c r="A139" t="s">
        <v>567</v>
      </c>
      <c r="B139" t="s">
        <v>543</v>
      </c>
      <c r="C139" t="s">
        <v>67</v>
      </c>
      <c r="D139" t="s">
        <v>73</v>
      </c>
      <c r="E139" t="s">
        <v>37</v>
      </c>
      <c r="F139" t="s">
        <v>74</v>
      </c>
      <c r="G139" t="s">
        <v>568</v>
      </c>
      <c r="H139" t="s">
        <v>569</v>
      </c>
      <c r="I139" t="s">
        <v>32</v>
      </c>
      <c r="J139" t="s">
        <v>64</v>
      </c>
    </row>
    <row r="140" spans="1:10" x14ac:dyDescent="0.35">
      <c r="A140" t="s">
        <v>570</v>
      </c>
      <c r="B140" t="s">
        <v>571</v>
      </c>
      <c r="C140" t="s">
        <v>67</v>
      </c>
      <c r="D140" t="s">
        <v>23</v>
      </c>
      <c r="E140" t="s">
        <v>24</v>
      </c>
      <c r="F140" t="s">
        <v>46</v>
      </c>
      <c r="G140" t="s">
        <v>572</v>
      </c>
      <c r="H140" t="s">
        <v>573</v>
      </c>
      <c r="I140" t="s">
        <v>49</v>
      </c>
      <c r="J140" t="s">
        <v>19</v>
      </c>
    </row>
    <row r="141" spans="1:10" x14ac:dyDescent="0.35">
      <c r="A141" t="s">
        <v>574</v>
      </c>
      <c r="B141" t="s">
        <v>575</v>
      </c>
      <c r="C141" t="s">
        <v>99</v>
      </c>
      <c r="D141" t="s">
        <v>13</v>
      </c>
      <c r="E141" t="s">
        <v>45</v>
      </c>
      <c r="F141" t="s">
        <v>25</v>
      </c>
      <c r="G141" t="s">
        <v>576</v>
      </c>
      <c r="H141" t="s">
        <v>577</v>
      </c>
      <c r="I141" t="s">
        <v>49</v>
      </c>
      <c r="J141" t="s">
        <v>64</v>
      </c>
    </row>
    <row r="142" spans="1:10" x14ac:dyDescent="0.35">
      <c r="A142" t="s">
        <v>578</v>
      </c>
      <c r="B142" t="s">
        <v>579</v>
      </c>
      <c r="C142" t="s">
        <v>12</v>
      </c>
      <c r="D142" t="s">
        <v>44</v>
      </c>
      <c r="E142" t="s">
        <v>134</v>
      </c>
      <c r="F142" t="s">
        <v>25</v>
      </c>
      <c r="G142" t="s">
        <v>580</v>
      </c>
      <c r="H142" t="s">
        <v>581</v>
      </c>
      <c r="I142" t="s">
        <v>49</v>
      </c>
      <c r="J142" t="s">
        <v>64</v>
      </c>
    </row>
    <row r="143" spans="1:10" x14ac:dyDescent="0.35">
      <c r="A143" t="s">
        <v>582</v>
      </c>
      <c r="B143" t="s">
        <v>583</v>
      </c>
      <c r="C143" t="s">
        <v>72</v>
      </c>
      <c r="D143" t="s">
        <v>44</v>
      </c>
      <c r="E143" t="s">
        <v>45</v>
      </c>
      <c r="F143" t="s">
        <v>38</v>
      </c>
      <c r="G143" t="s">
        <v>584</v>
      </c>
      <c r="H143" t="s">
        <v>585</v>
      </c>
      <c r="I143" t="s">
        <v>49</v>
      </c>
      <c r="J143" t="s">
        <v>19</v>
      </c>
    </row>
    <row r="144" spans="1:10" x14ac:dyDescent="0.35">
      <c r="A144" t="s">
        <v>586</v>
      </c>
      <c r="B144" t="s">
        <v>497</v>
      </c>
      <c r="C144" t="s">
        <v>99</v>
      </c>
      <c r="D144" t="s">
        <v>36</v>
      </c>
      <c r="E144" t="s">
        <v>37</v>
      </c>
      <c r="F144" t="s">
        <v>74</v>
      </c>
      <c r="G144" t="s">
        <v>587</v>
      </c>
      <c r="H144" t="s">
        <v>588</v>
      </c>
      <c r="I144" t="s">
        <v>18</v>
      </c>
      <c r="J144" t="s">
        <v>19</v>
      </c>
    </row>
    <row r="145" spans="1:10" x14ac:dyDescent="0.35">
      <c r="A145" t="s">
        <v>589</v>
      </c>
      <c r="B145" t="s">
        <v>590</v>
      </c>
      <c r="C145" t="s">
        <v>108</v>
      </c>
      <c r="D145" t="s">
        <v>13</v>
      </c>
      <c r="E145" t="s">
        <v>134</v>
      </c>
      <c r="F145" t="s">
        <v>15</v>
      </c>
      <c r="G145" t="s">
        <v>591</v>
      </c>
      <c r="H145" t="s">
        <v>592</v>
      </c>
      <c r="I145" t="s">
        <v>49</v>
      </c>
      <c r="J145" t="s">
        <v>41</v>
      </c>
    </row>
    <row r="146" spans="1:10" x14ac:dyDescent="0.35">
      <c r="A146" t="s">
        <v>593</v>
      </c>
      <c r="B146" t="s">
        <v>594</v>
      </c>
      <c r="C146" t="s">
        <v>67</v>
      </c>
      <c r="D146" t="s">
        <v>36</v>
      </c>
      <c r="E146" t="s">
        <v>37</v>
      </c>
      <c r="F146" t="s">
        <v>25</v>
      </c>
      <c r="G146" t="s">
        <v>595</v>
      </c>
      <c r="H146" t="s">
        <v>596</v>
      </c>
      <c r="I146" t="s">
        <v>49</v>
      </c>
      <c r="J146" t="s">
        <v>33</v>
      </c>
    </row>
    <row r="147" spans="1:10" x14ac:dyDescent="0.35">
      <c r="A147" t="s">
        <v>597</v>
      </c>
      <c r="B147" t="s">
        <v>598</v>
      </c>
      <c r="C147" t="s">
        <v>67</v>
      </c>
      <c r="D147" t="s">
        <v>53</v>
      </c>
      <c r="E147" t="s">
        <v>45</v>
      </c>
      <c r="F147" t="s">
        <v>38</v>
      </c>
      <c r="G147" t="s">
        <v>599</v>
      </c>
      <c r="H147" t="s">
        <v>600</v>
      </c>
      <c r="I147" t="s">
        <v>32</v>
      </c>
      <c r="J147" t="s">
        <v>64</v>
      </c>
    </row>
    <row r="148" spans="1:10" x14ac:dyDescent="0.35">
      <c r="A148" t="s">
        <v>601</v>
      </c>
      <c r="B148" t="s">
        <v>602</v>
      </c>
      <c r="C148" t="s">
        <v>22</v>
      </c>
      <c r="D148" t="s">
        <v>44</v>
      </c>
      <c r="E148" t="s">
        <v>134</v>
      </c>
      <c r="F148" t="s">
        <v>38</v>
      </c>
      <c r="G148" t="s">
        <v>603</v>
      </c>
      <c r="H148" t="s">
        <v>604</v>
      </c>
      <c r="I148" t="s">
        <v>18</v>
      </c>
      <c r="J148" t="s">
        <v>33</v>
      </c>
    </row>
    <row r="149" spans="1:10" x14ac:dyDescent="0.35">
      <c r="A149" t="s">
        <v>605</v>
      </c>
      <c r="B149" t="s">
        <v>606</v>
      </c>
      <c r="C149" t="s">
        <v>108</v>
      </c>
      <c r="D149" t="s">
        <v>73</v>
      </c>
      <c r="E149" t="s">
        <v>134</v>
      </c>
      <c r="F149" t="s">
        <v>25</v>
      </c>
      <c r="G149" t="s">
        <v>607</v>
      </c>
      <c r="H149" t="s">
        <v>608</v>
      </c>
      <c r="I149" t="s">
        <v>32</v>
      </c>
      <c r="J149" t="s">
        <v>64</v>
      </c>
    </row>
    <row r="150" spans="1:10" x14ac:dyDescent="0.35">
      <c r="A150" t="s">
        <v>609</v>
      </c>
      <c r="B150" t="s">
        <v>610</v>
      </c>
      <c r="C150" t="s">
        <v>99</v>
      </c>
      <c r="D150" t="s">
        <v>44</v>
      </c>
      <c r="E150" t="s">
        <v>109</v>
      </c>
      <c r="F150" t="s">
        <v>46</v>
      </c>
      <c r="G150" t="s">
        <v>611</v>
      </c>
      <c r="H150" t="s">
        <v>612</v>
      </c>
      <c r="I150" t="s">
        <v>18</v>
      </c>
      <c r="J150" t="s">
        <v>41</v>
      </c>
    </row>
    <row r="151" spans="1:10" x14ac:dyDescent="0.35">
      <c r="A151" t="s">
        <v>613</v>
      </c>
      <c r="B151" t="s">
        <v>515</v>
      </c>
      <c r="C151" t="s">
        <v>108</v>
      </c>
      <c r="D151" t="s">
        <v>23</v>
      </c>
      <c r="E151" t="s">
        <v>134</v>
      </c>
      <c r="F151" t="s">
        <v>79</v>
      </c>
      <c r="G151" t="s">
        <v>614</v>
      </c>
      <c r="H151" t="s">
        <v>615</v>
      </c>
      <c r="I151" t="s">
        <v>32</v>
      </c>
      <c r="J151" t="s">
        <v>33</v>
      </c>
    </row>
    <row r="152" spans="1:10" x14ac:dyDescent="0.35">
      <c r="A152" t="s">
        <v>616</v>
      </c>
      <c r="B152" t="s">
        <v>617</v>
      </c>
      <c r="C152" t="s">
        <v>99</v>
      </c>
      <c r="D152" t="s">
        <v>53</v>
      </c>
      <c r="E152" t="s">
        <v>109</v>
      </c>
      <c r="F152" t="s">
        <v>15</v>
      </c>
      <c r="G152" t="s">
        <v>618</v>
      </c>
      <c r="H152" t="s">
        <v>619</v>
      </c>
      <c r="I152" t="s">
        <v>49</v>
      </c>
      <c r="J152" t="s">
        <v>19</v>
      </c>
    </row>
    <row r="153" spans="1:10" x14ac:dyDescent="0.35">
      <c r="A153" t="s">
        <v>620</v>
      </c>
      <c r="B153" t="s">
        <v>621</v>
      </c>
      <c r="C153" t="s">
        <v>52</v>
      </c>
      <c r="D153" t="s">
        <v>53</v>
      </c>
      <c r="E153" t="s">
        <v>109</v>
      </c>
      <c r="F153" t="s">
        <v>79</v>
      </c>
      <c r="G153" t="s">
        <v>622</v>
      </c>
      <c r="H153" t="s">
        <v>623</v>
      </c>
      <c r="I153" t="s">
        <v>49</v>
      </c>
      <c r="J153" t="s">
        <v>41</v>
      </c>
    </row>
    <row r="154" spans="1:10" x14ac:dyDescent="0.35">
      <c r="A154" t="s">
        <v>624</v>
      </c>
      <c r="B154" t="s">
        <v>625</v>
      </c>
      <c r="C154" t="s">
        <v>12</v>
      </c>
      <c r="D154" t="s">
        <v>36</v>
      </c>
      <c r="E154" t="s">
        <v>45</v>
      </c>
      <c r="F154" t="s">
        <v>46</v>
      </c>
      <c r="G154" t="s">
        <v>626</v>
      </c>
      <c r="H154" t="s">
        <v>627</v>
      </c>
      <c r="I154" t="s">
        <v>32</v>
      </c>
      <c r="J154" t="s">
        <v>19</v>
      </c>
    </row>
    <row r="155" spans="1:10" x14ac:dyDescent="0.35">
      <c r="A155" t="s">
        <v>628</v>
      </c>
      <c r="B155" t="s">
        <v>629</v>
      </c>
      <c r="C155" t="s">
        <v>108</v>
      </c>
      <c r="D155" t="s">
        <v>44</v>
      </c>
      <c r="E155" t="s">
        <v>109</v>
      </c>
      <c r="F155" t="s">
        <v>15</v>
      </c>
      <c r="G155" t="s">
        <v>630</v>
      </c>
      <c r="H155" t="s">
        <v>631</v>
      </c>
      <c r="I155" t="s">
        <v>49</v>
      </c>
      <c r="J155" t="s">
        <v>64</v>
      </c>
    </row>
    <row r="156" spans="1:10" x14ac:dyDescent="0.35">
      <c r="A156" t="s">
        <v>632</v>
      </c>
      <c r="B156" t="s">
        <v>358</v>
      </c>
      <c r="C156" t="s">
        <v>12</v>
      </c>
      <c r="D156" t="s">
        <v>36</v>
      </c>
      <c r="E156" t="s">
        <v>14</v>
      </c>
      <c r="F156" t="s">
        <v>79</v>
      </c>
      <c r="G156" t="s">
        <v>633</v>
      </c>
      <c r="H156" t="s">
        <v>634</v>
      </c>
      <c r="I156" t="s">
        <v>49</v>
      </c>
      <c r="J156" t="s">
        <v>41</v>
      </c>
    </row>
    <row r="157" spans="1:10" x14ac:dyDescent="0.35">
      <c r="A157" t="s">
        <v>635</v>
      </c>
      <c r="B157" t="s">
        <v>636</v>
      </c>
      <c r="C157" t="s">
        <v>22</v>
      </c>
      <c r="D157" t="s">
        <v>36</v>
      </c>
      <c r="E157" t="s">
        <v>37</v>
      </c>
      <c r="F157" t="s">
        <v>15</v>
      </c>
      <c r="G157" t="s">
        <v>637</v>
      </c>
      <c r="H157" t="s">
        <v>638</v>
      </c>
      <c r="I157" t="s">
        <v>18</v>
      </c>
      <c r="J157" t="s">
        <v>33</v>
      </c>
    </row>
    <row r="158" spans="1:10" x14ac:dyDescent="0.35">
      <c r="A158" t="s">
        <v>639</v>
      </c>
      <c r="B158" t="s">
        <v>640</v>
      </c>
      <c r="C158" t="s">
        <v>67</v>
      </c>
      <c r="D158" t="s">
        <v>36</v>
      </c>
      <c r="E158" t="s">
        <v>109</v>
      </c>
      <c r="F158" t="s">
        <v>25</v>
      </c>
      <c r="G158" t="s">
        <v>641</v>
      </c>
      <c r="H158" t="s">
        <v>642</v>
      </c>
      <c r="I158" t="s">
        <v>18</v>
      </c>
      <c r="J158" t="s">
        <v>33</v>
      </c>
    </row>
    <row r="159" spans="1:10" x14ac:dyDescent="0.35">
      <c r="A159" t="s">
        <v>643</v>
      </c>
      <c r="B159" t="s">
        <v>644</v>
      </c>
      <c r="C159" t="s">
        <v>72</v>
      </c>
      <c r="D159" t="s">
        <v>73</v>
      </c>
      <c r="E159" t="s">
        <v>109</v>
      </c>
      <c r="F159" t="s">
        <v>15</v>
      </c>
      <c r="G159" t="s">
        <v>645</v>
      </c>
      <c r="H159" t="s">
        <v>646</v>
      </c>
      <c r="I159" t="s">
        <v>49</v>
      </c>
      <c r="J159" t="s">
        <v>19</v>
      </c>
    </row>
    <row r="160" spans="1:10" x14ac:dyDescent="0.35">
      <c r="A160" t="s">
        <v>647</v>
      </c>
      <c r="B160" t="s">
        <v>648</v>
      </c>
      <c r="C160" t="s">
        <v>52</v>
      </c>
      <c r="D160" t="s">
        <v>73</v>
      </c>
      <c r="E160" t="s">
        <v>45</v>
      </c>
      <c r="F160" t="s">
        <v>79</v>
      </c>
      <c r="G160" t="s">
        <v>649</v>
      </c>
      <c r="H160" t="s">
        <v>650</v>
      </c>
      <c r="I160" t="s">
        <v>49</v>
      </c>
      <c r="J160" t="s">
        <v>64</v>
      </c>
    </row>
    <row r="161" spans="1:10" x14ac:dyDescent="0.35">
      <c r="A161" t="s">
        <v>651</v>
      </c>
      <c r="B161" t="s">
        <v>347</v>
      </c>
      <c r="C161" t="s">
        <v>72</v>
      </c>
      <c r="D161" t="s">
        <v>23</v>
      </c>
      <c r="E161" t="s">
        <v>24</v>
      </c>
      <c r="F161" t="s">
        <v>25</v>
      </c>
      <c r="G161" t="s">
        <v>652</v>
      </c>
      <c r="H161" t="s">
        <v>653</v>
      </c>
      <c r="I161" t="s">
        <v>49</v>
      </c>
      <c r="J161" t="s">
        <v>19</v>
      </c>
    </row>
    <row r="162" spans="1:10" x14ac:dyDescent="0.35">
      <c r="A162" t="s">
        <v>654</v>
      </c>
      <c r="B162" t="s">
        <v>655</v>
      </c>
      <c r="C162" t="s">
        <v>12</v>
      </c>
      <c r="D162" t="s">
        <v>44</v>
      </c>
      <c r="E162" t="s">
        <v>45</v>
      </c>
      <c r="F162" t="s">
        <v>38</v>
      </c>
      <c r="G162" t="s">
        <v>656</v>
      </c>
      <c r="H162" t="s">
        <v>657</v>
      </c>
      <c r="I162" t="s">
        <v>49</v>
      </c>
      <c r="J162" t="s">
        <v>64</v>
      </c>
    </row>
    <row r="163" spans="1:10" x14ac:dyDescent="0.35">
      <c r="A163" t="s">
        <v>658</v>
      </c>
      <c r="B163" t="s">
        <v>659</v>
      </c>
      <c r="C163" t="s">
        <v>22</v>
      </c>
      <c r="D163" t="s">
        <v>53</v>
      </c>
      <c r="E163" t="s">
        <v>37</v>
      </c>
      <c r="F163" t="s">
        <v>25</v>
      </c>
      <c r="G163" t="s">
        <v>660</v>
      </c>
      <c r="H163" t="s">
        <v>661</v>
      </c>
      <c r="I163" t="s">
        <v>49</v>
      </c>
      <c r="J163" t="s">
        <v>64</v>
      </c>
    </row>
    <row r="164" spans="1:10" x14ac:dyDescent="0.35">
      <c r="A164" t="s">
        <v>662</v>
      </c>
      <c r="B164" t="s">
        <v>663</v>
      </c>
      <c r="C164" t="s">
        <v>72</v>
      </c>
      <c r="D164" t="s">
        <v>23</v>
      </c>
      <c r="E164" t="s">
        <v>45</v>
      </c>
      <c r="F164" t="s">
        <v>79</v>
      </c>
      <c r="G164" t="s">
        <v>664</v>
      </c>
      <c r="H164" t="s">
        <v>665</v>
      </c>
      <c r="I164" t="s">
        <v>49</v>
      </c>
      <c r="J164" t="s">
        <v>41</v>
      </c>
    </row>
    <row r="165" spans="1:10" x14ac:dyDescent="0.35">
      <c r="A165" t="s">
        <v>666</v>
      </c>
      <c r="B165" t="s">
        <v>667</v>
      </c>
      <c r="C165" t="s">
        <v>12</v>
      </c>
      <c r="D165" t="s">
        <v>73</v>
      </c>
      <c r="E165" t="s">
        <v>24</v>
      </c>
      <c r="F165" t="s">
        <v>38</v>
      </c>
      <c r="G165" t="s">
        <v>668</v>
      </c>
      <c r="H165" t="s">
        <v>669</v>
      </c>
      <c r="I165" t="s">
        <v>49</v>
      </c>
      <c r="J165" t="s">
        <v>41</v>
      </c>
    </row>
    <row r="166" spans="1:10" x14ac:dyDescent="0.35">
      <c r="A166" t="s">
        <v>670</v>
      </c>
      <c r="B166" t="s">
        <v>625</v>
      </c>
      <c r="C166" t="s">
        <v>108</v>
      </c>
      <c r="D166" t="s">
        <v>13</v>
      </c>
      <c r="E166" t="s">
        <v>37</v>
      </c>
      <c r="F166" t="s">
        <v>79</v>
      </c>
      <c r="G166" t="s">
        <v>671</v>
      </c>
      <c r="H166" t="s">
        <v>672</v>
      </c>
      <c r="I166" t="s">
        <v>18</v>
      </c>
      <c r="J166" t="s">
        <v>41</v>
      </c>
    </row>
    <row r="167" spans="1:10" x14ac:dyDescent="0.35">
      <c r="A167" t="s">
        <v>673</v>
      </c>
      <c r="B167" t="s">
        <v>233</v>
      </c>
      <c r="C167" t="s">
        <v>72</v>
      </c>
      <c r="D167" t="s">
        <v>13</v>
      </c>
      <c r="E167" t="s">
        <v>24</v>
      </c>
      <c r="F167" t="s">
        <v>15</v>
      </c>
      <c r="G167" t="s">
        <v>674</v>
      </c>
      <c r="H167" t="s">
        <v>675</v>
      </c>
      <c r="I167" t="s">
        <v>32</v>
      </c>
      <c r="J167" t="s">
        <v>41</v>
      </c>
    </row>
    <row r="168" spans="1:10" x14ac:dyDescent="0.35">
      <c r="A168" t="s">
        <v>676</v>
      </c>
      <c r="B168" t="s">
        <v>221</v>
      </c>
      <c r="C168" t="s">
        <v>52</v>
      </c>
      <c r="D168" t="s">
        <v>23</v>
      </c>
      <c r="E168" t="s">
        <v>37</v>
      </c>
      <c r="F168" t="s">
        <v>74</v>
      </c>
      <c r="G168" t="s">
        <v>677</v>
      </c>
      <c r="H168" t="s">
        <v>678</v>
      </c>
      <c r="I168" t="s">
        <v>18</v>
      </c>
      <c r="J168" t="s">
        <v>64</v>
      </c>
    </row>
    <row r="169" spans="1:10" x14ac:dyDescent="0.35">
      <c r="A169" t="s">
        <v>679</v>
      </c>
      <c r="B169" t="s">
        <v>680</v>
      </c>
      <c r="C169" t="s">
        <v>67</v>
      </c>
      <c r="D169" t="s">
        <v>36</v>
      </c>
      <c r="E169" t="s">
        <v>134</v>
      </c>
      <c r="F169" t="s">
        <v>15</v>
      </c>
      <c r="G169" t="s">
        <v>681</v>
      </c>
      <c r="H169" t="s">
        <v>682</v>
      </c>
      <c r="I169" t="s">
        <v>49</v>
      </c>
      <c r="J169" t="s">
        <v>33</v>
      </c>
    </row>
    <row r="170" spans="1:10" x14ac:dyDescent="0.35">
      <c r="A170" t="s">
        <v>683</v>
      </c>
      <c r="B170" t="s">
        <v>684</v>
      </c>
      <c r="C170" t="s">
        <v>72</v>
      </c>
      <c r="D170" t="s">
        <v>23</v>
      </c>
      <c r="E170" t="s">
        <v>134</v>
      </c>
      <c r="F170" t="s">
        <v>25</v>
      </c>
      <c r="G170" t="s">
        <v>685</v>
      </c>
      <c r="H170" t="s">
        <v>686</v>
      </c>
      <c r="I170" t="s">
        <v>32</v>
      </c>
      <c r="J170" t="s">
        <v>41</v>
      </c>
    </row>
    <row r="171" spans="1:10" x14ac:dyDescent="0.35">
      <c r="A171" t="s">
        <v>687</v>
      </c>
      <c r="B171" t="s">
        <v>98</v>
      </c>
      <c r="C171" t="s">
        <v>99</v>
      </c>
      <c r="D171" t="s">
        <v>53</v>
      </c>
      <c r="E171" t="s">
        <v>37</v>
      </c>
      <c r="F171" t="s">
        <v>46</v>
      </c>
      <c r="G171" t="s">
        <v>688</v>
      </c>
      <c r="H171" t="s">
        <v>689</v>
      </c>
      <c r="I171" t="s">
        <v>18</v>
      </c>
      <c r="J171" t="s">
        <v>33</v>
      </c>
    </row>
    <row r="172" spans="1:10" x14ac:dyDescent="0.35">
      <c r="A172" t="s">
        <v>690</v>
      </c>
      <c r="B172" t="s">
        <v>90</v>
      </c>
      <c r="C172" t="s">
        <v>22</v>
      </c>
      <c r="D172" t="s">
        <v>53</v>
      </c>
      <c r="E172" t="s">
        <v>24</v>
      </c>
      <c r="F172" t="s">
        <v>74</v>
      </c>
      <c r="G172" t="s">
        <v>691</v>
      </c>
      <c r="H172" t="s">
        <v>692</v>
      </c>
      <c r="I172" t="s">
        <v>49</v>
      </c>
      <c r="J172" t="s">
        <v>33</v>
      </c>
    </row>
    <row r="173" spans="1:10" x14ac:dyDescent="0.35">
      <c r="A173" t="s">
        <v>693</v>
      </c>
      <c r="B173" t="s">
        <v>694</v>
      </c>
      <c r="C173" t="s">
        <v>99</v>
      </c>
      <c r="D173" t="s">
        <v>23</v>
      </c>
      <c r="E173" t="s">
        <v>14</v>
      </c>
      <c r="F173" t="s">
        <v>74</v>
      </c>
      <c r="G173" t="s">
        <v>695</v>
      </c>
      <c r="H173" t="s">
        <v>696</v>
      </c>
      <c r="I173" t="s">
        <v>18</v>
      </c>
      <c r="J173" t="s">
        <v>19</v>
      </c>
    </row>
    <row r="174" spans="1:10" x14ac:dyDescent="0.35">
      <c r="A174" t="s">
        <v>697</v>
      </c>
      <c r="B174" t="s">
        <v>698</v>
      </c>
      <c r="C174" t="s">
        <v>67</v>
      </c>
      <c r="D174" t="s">
        <v>73</v>
      </c>
      <c r="E174" t="s">
        <v>134</v>
      </c>
      <c r="F174" t="s">
        <v>46</v>
      </c>
      <c r="G174" t="s">
        <v>699</v>
      </c>
      <c r="H174" t="s">
        <v>700</v>
      </c>
      <c r="I174" t="s">
        <v>49</v>
      </c>
      <c r="J174" t="s">
        <v>19</v>
      </c>
    </row>
    <row r="175" spans="1:10" x14ac:dyDescent="0.35">
      <c r="A175" t="s">
        <v>701</v>
      </c>
      <c r="B175" t="s">
        <v>702</v>
      </c>
      <c r="C175" t="s">
        <v>108</v>
      </c>
      <c r="D175" t="s">
        <v>53</v>
      </c>
      <c r="E175" t="s">
        <v>24</v>
      </c>
      <c r="F175" t="s">
        <v>15</v>
      </c>
      <c r="G175" t="s">
        <v>703</v>
      </c>
      <c r="H175" t="s">
        <v>704</v>
      </c>
      <c r="I175" t="s">
        <v>49</v>
      </c>
      <c r="J175" t="s">
        <v>33</v>
      </c>
    </row>
    <row r="176" spans="1:10" x14ac:dyDescent="0.35">
      <c r="A176" t="s">
        <v>705</v>
      </c>
      <c r="B176" t="s">
        <v>706</v>
      </c>
      <c r="C176" t="s">
        <v>22</v>
      </c>
      <c r="D176" t="s">
        <v>44</v>
      </c>
      <c r="E176" t="s">
        <v>24</v>
      </c>
      <c r="F176" t="s">
        <v>38</v>
      </c>
      <c r="G176" t="s">
        <v>707</v>
      </c>
      <c r="H176" t="s">
        <v>708</v>
      </c>
      <c r="I176" t="s">
        <v>18</v>
      </c>
      <c r="J176" t="s">
        <v>33</v>
      </c>
    </row>
    <row r="177" spans="1:10" x14ac:dyDescent="0.35">
      <c r="A177" t="s">
        <v>709</v>
      </c>
      <c r="B177" t="s">
        <v>253</v>
      </c>
      <c r="C177" t="s">
        <v>12</v>
      </c>
      <c r="D177" t="s">
        <v>23</v>
      </c>
      <c r="E177" t="s">
        <v>109</v>
      </c>
      <c r="F177" t="s">
        <v>38</v>
      </c>
      <c r="G177" t="s">
        <v>710</v>
      </c>
      <c r="H177" t="s">
        <v>711</v>
      </c>
      <c r="I177" t="s">
        <v>49</v>
      </c>
      <c r="J177" t="s">
        <v>19</v>
      </c>
    </row>
    <row r="178" spans="1:10" x14ac:dyDescent="0.35">
      <c r="A178" t="s">
        <v>712</v>
      </c>
      <c r="B178" t="s">
        <v>547</v>
      </c>
      <c r="C178" t="s">
        <v>108</v>
      </c>
      <c r="D178" t="s">
        <v>53</v>
      </c>
      <c r="E178" t="s">
        <v>109</v>
      </c>
      <c r="F178" t="s">
        <v>46</v>
      </c>
      <c r="G178" t="s">
        <v>713</v>
      </c>
      <c r="H178" t="s">
        <v>714</v>
      </c>
      <c r="I178" t="s">
        <v>18</v>
      </c>
      <c r="J178" t="s">
        <v>64</v>
      </c>
    </row>
    <row r="179" spans="1:10" x14ac:dyDescent="0.35">
      <c r="A179" t="s">
        <v>715</v>
      </c>
      <c r="B179" t="s">
        <v>702</v>
      </c>
      <c r="C179" t="s">
        <v>99</v>
      </c>
      <c r="D179" t="s">
        <v>36</v>
      </c>
      <c r="E179" t="s">
        <v>37</v>
      </c>
      <c r="F179" t="s">
        <v>25</v>
      </c>
      <c r="G179" t="s">
        <v>716</v>
      </c>
      <c r="H179" t="s">
        <v>717</v>
      </c>
      <c r="I179" t="s">
        <v>32</v>
      </c>
      <c r="J179" t="s">
        <v>41</v>
      </c>
    </row>
    <row r="180" spans="1:10" x14ac:dyDescent="0.35">
      <c r="A180" t="s">
        <v>718</v>
      </c>
      <c r="B180" t="s">
        <v>241</v>
      </c>
      <c r="C180" t="s">
        <v>72</v>
      </c>
      <c r="D180" t="s">
        <v>23</v>
      </c>
      <c r="E180" t="s">
        <v>24</v>
      </c>
      <c r="F180" t="s">
        <v>79</v>
      </c>
      <c r="G180" t="s">
        <v>719</v>
      </c>
      <c r="H180" t="s">
        <v>720</v>
      </c>
      <c r="I180" t="s">
        <v>32</v>
      </c>
      <c r="J180" t="s">
        <v>41</v>
      </c>
    </row>
    <row r="181" spans="1:10" x14ac:dyDescent="0.35">
      <c r="A181" t="s">
        <v>721</v>
      </c>
      <c r="B181" t="s">
        <v>629</v>
      </c>
      <c r="C181" t="s">
        <v>67</v>
      </c>
      <c r="D181" t="s">
        <v>13</v>
      </c>
      <c r="E181" t="s">
        <v>109</v>
      </c>
      <c r="F181" t="s">
        <v>25</v>
      </c>
      <c r="G181" t="s">
        <v>722</v>
      </c>
      <c r="H181" t="s">
        <v>723</v>
      </c>
      <c r="I181" t="s">
        <v>32</v>
      </c>
      <c r="J181" t="s">
        <v>64</v>
      </c>
    </row>
    <row r="182" spans="1:10" x14ac:dyDescent="0.35">
      <c r="A182" t="s">
        <v>724</v>
      </c>
      <c r="B182" t="s">
        <v>725</v>
      </c>
      <c r="C182" t="s">
        <v>12</v>
      </c>
      <c r="D182" t="s">
        <v>53</v>
      </c>
      <c r="E182" t="s">
        <v>109</v>
      </c>
      <c r="F182" t="s">
        <v>15</v>
      </c>
      <c r="G182" t="s">
        <v>726</v>
      </c>
      <c r="H182" t="s">
        <v>727</v>
      </c>
      <c r="I182" t="s">
        <v>32</v>
      </c>
      <c r="J182" t="s">
        <v>64</v>
      </c>
    </row>
    <row r="183" spans="1:10" x14ac:dyDescent="0.35">
      <c r="A183" t="s">
        <v>728</v>
      </c>
      <c r="B183" t="s">
        <v>729</v>
      </c>
      <c r="C183" t="s">
        <v>108</v>
      </c>
      <c r="D183" t="s">
        <v>53</v>
      </c>
      <c r="E183" t="s">
        <v>134</v>
      </c>
      <c r="F183" t="s">
        <v>38</v>
      </c>
      <c r="G183" t="s">
        <v>730</v>
      </c>
      <c r="H183" t="s">
        <v>731</v>
      </c>
      <c r="I183" t="s">
        <v>49</v>
      </c>
      <c r="J183" t="s">
        <v>41</v>
      </c>
    </row>
    <row r="184" spans="1:10" x14ac:dyDescent="0.35">
      <c r="A184" t="s">
        <v>732</v>
      </c>
      <c r="B184" t="s">
        <v>523</v>
      </c>
      <c r="C184" t="s">
        <v>12</v>
      </c>
      <c r="D184" t="s">
        <v>36</v>
      </c>
      <c r="E184" t="s">
        <v>134</v>
      </c>
      <c r="F184" t="s">
        <v>74</v>
      </c>
      <c r="G184" t="s">
        <v>733</v>
      </c>
      <c r="H184" t="s">
        <v>734</v>
      </c>
      <c r="I184" t="s">
        <v>32</v>
      </c>
      <c r="J184" t="s">
        <v>19</v>
      </c>
    </row>
    <row r="185" spans="1:10" x14ac:dyDescent="0.35">
      <c r="A185" t="s">
        <v>735</v>
      </c>
      <c r="B185" t="s">
        <v>736</v>
      </c>
      <c r="C185" t="s">
        <v>52</v>
      </c>
      <c r="D185" t="s">
        <v>13</v>
      </c>
      <c r="E185" t="s">
        <v>37</v>
      </c>
      <c r="F185" t="s">
        <v>25</v>
      </c>
      <c r="G185" t="s">
        <v>737</v>
      </c>
      <c r="H185" t="s">
        <v>738</v>
      </c>
      <c r="I185" t="s">
        <v>32</v>
      </c>
      <c r="J185" t="s">
        <v>33</v>
      </c>
    </row>
    <row r="186" spans="1:10" x14ac:dyDescent="0.35">
      <c r="A186" t="s">
        <v>739</v>
      </c>
      <c r="B186" t="s">
        <v>390</v>
      </c>
      <c r="C186" t="s">
        <v>52</v>
      </c>
      <c r="D186" t="s">
        <v>73</v>
      </c>
      <c r="E186" t="s">
        <v>24</v>
      </c>
      <c r="F186" t="s">
        <v>46</v>
      </c>
      <c r="G186" t="s">
        <v>740</v>
      </c>
      <c r="H186" t="s">
        <v>741</v>
      </c>
      <c r="I186" t="s">
        <v>32</v>
      </c>
      <c r="J186" t="s">
        <v>41</v>
      </c>
    </row>
    <row r="187" spans="1:10" x14ac:dyDescent="0.35">
      <c r="A187" t="s">
        <v>742</v>
      </c>
      <c r="B187" t="s">
        <v>743</v>
      </c>
      <c r="C187" t="s">
        <v>72</v>
      </c>
      <c r="D187" t="s">
        <v>44</v>
      </c>
      <c r="E187" t="s">
        <v>37</v>
      </c>
      <c r="F187" t="s">
        <v>46</v>
      </c>
      <c r="G187" t="s">
        <v>744</v>
      </c>
      <c r="H187" t="s">
        <v>745</v>
      </c>
      <c r="I187" t="s">
        <v>18</v>
      </c>
      <c r="J187" t="s">
        <v>33</v>
      </c>
    </row>
    <row r="188" spans="1:10" x14ac:dyDescent="0.35">
      <c r="A188" t="s">
        <v>746</v>
      </c>
      <c r="B188" t="s">
        <v>747</v>
      </c>
      <c r="C188" t="s">
        <v>108</v>
      </c>
      <c r="D188" t="s">
        <v>73</v>
      </c>
      <c r="E188" t="s">
        <v>37</v>
      </c>
      <c r="F188" t="s">
        <v>15</v>
      </c>
      <c r="G188" t="s">
        <v>748</v>
      </c>
      <c r="H188" t="s">
        <v>749</v>
      </c>
      <c r="I188" t="s">
        <v>32</v>
      </c>
      <c r="J188" t="s">
        <v>33</v>
      </c>
    </row>
    <row r="189" spans="1:10" x14ac:dyDescent="0.35">
      <c r="A189" t="s">
        <v>750</v>
      </c>
      <c r="B189" t="s">
        <v>751</v>
      </c>
      <c r="C189" t="s">
        <v>108</v>
      </c>
      <c r="D189" t="s">
        <v>36</v>
      </c>
      <c r="E189" t="s">
        <v>24</v>
      </c>
      <c r="F189" t="s">
        <v>15</v>
      </c>
      <c r="G189" t="s">
        <v>752</v>
      </c>
      <c r="H189" t="s">
        <v>753</v>
      </c>
      <c r="I189" t="s">
        <v>49</v>
      </c>
      <c r="J189" t="s">
        <v>41</v>
      </c>
    </row>
    <row r="190" spans="1:10" x14ac:dyDescent="0.35">
      <c r="A190" t="s">
        <v>754</v>
      </c>
      <c r="B190" t="s">
        <v>755</v>
      </c>
      <c r="C190" t="s">
        <v>99</v>
      </c>
      <c r="D190" t="s">
        <v>73</v>
      </c>
      <c r="E190" t="s">
        <v>14</v>
      </c>
      <c r="F190" t="s">
        <v>46</v>
      </c>
      <c r="G190" t="s">
        <v>756</v>
      </c>
      <c r="H190" t="s">
        <v>757</v>
      </c>
      <c r="I190" t="s">
        <v>32</v>
      </c>
      <c r="J190" t="s">
        <v>64</v>
      </c>
    </row>
    <row r="191" spans="1:10" x14ac:dyDescent="0.35">
      <c r="A191" t="s">
        <v>758</v>
      </c>
      <c r="B191" t="s">
        <v>759</v>
      </c>
      <c r="C191" t="s">
        <v>67</v>
      </c>
      <c r="D191" t="s">
        <v>53</v>
      </c>
      <c r="E191" t="s">
        <v>134</v>
      </c>
      <c r="F191" t="s">
        <v>15</v>
      </c>
      <c r="G191" t="s">
        <v>760</v>
      </c>
      <c r="H191" t="s">
        <v>761</v>
      </c>
      <c r="I191" t="s">
        <v>49</v>
      </c>
      <c r="J191" t="s">
        <v>64</v>
      </c>
    </row>
    <row r="192" spans="1:10" x14ac:dyDescent="0.35">
      <c r="A192" t="s">
        <v>762</v>
      </c>
      <c r="B192" t="s">
        <v>763</v>
      </c>
      <c r="C192" t="s">
        <v>22</v>
      </c>
      <c r="D192" t="s">
        <v>53</v>
      </c>
      <c r="E192" t="s">
        <v>24</v>
      </c>
      <c r="F192" t="s">
        <v>38</v>
      </c>
      <c r="G192" t="s">
        <v>764</v>
      </c>
      <c r="H192" t="s">
        <v>765</v>
      </c>
      <c r="I192" t="s">
        <v>49</v>
      </c>
      <c r="J192" t="s">
        <v>64</v>
      </c>
    </row>
    <row r="193" spans="1:10" x14ac:dyDescent="0.35">
      <c r="A193" t="s">
        <v>766</v>
      </c>
      <c r="B193" t="s">
        <v>767</v>
      </c>
      <c r="C193" t="s">
        <v>67</v>
      </c>
      <c r="D193" t="s">
        <v>44</v>
      </c>
      <c r="E193" t="s">
        <v>134</v>
      </c>
      <c r="F193" t="s">
        <v>25</v>
      </c>
      <c r="G193" t="s">
        <v>768</v>
      </c>
      <c r="H193" t="s">
        <v>769</v>
      </c>
      <c r="I193" t="s">
        <v>32</v>
      </c>
      <c r="J193" t="s">
        <v>33</v>
      </c>
    </row>
    <row r="194" spans="1:10" x14ac:dyDescent="0.35">
      <c r="A194" t="s">
        <v>770</v>
      </c>
      <c r="B194" t="s">
        <v>771</v>
      </c>
      <c r="C194" t="s">
        <v>12</v>
      </c>
      <c r="D194" t="s">
        <v>73</v>
      </c>
      <c r="E194" t="s">
        <v>24</v>
      </c>
      <c r="F194" t="s">
        <v>15</v>
      </c>
      <c r="G194" t="s">
        <v>772</v>
      </c>
      <c r="H194" t="s">
        <v>773</v>
      </c>
      <c r="I194" t="s">
        <v>32</v>
      </c>
      <c r="J194" t="s">
        <v>33</v>
      </c>
    </row>
    <row r="195" spans="1:10" x14ac:dyDescent="0.35">
      <c r="A195" t="s">
        <v>774</v>
      </c>
      <c r="B195" t="s">
        <v>253</v>
      </c>
      <c r="C195" t="s">
        <v>99</v>
      </c>
      <c r="D195" t="s">
        <v>23</v>
      </c>
      <c r="E195" t="s">
        <v>134</v>
      </c>
      <c r="F195" t="s">
        <v>74</v>
      </c>
      <c r="G195" t="s">
        <v>775</v>
      </c>
      <c r="H195" t="s">
        <v>776</v>
      </c>
      <c r="I195" t="s">
        <v>49</v>
      </c>
      <c r="J195" t="s">
        <v>41</v>
      </c>
    </row>
    <row r="196" spans="1:10" x14ac:dyDescent="0.35">
      <c r="A196" t="s">
        <v>777</v>
      </c>
      <c r="B196" t="s">
        <v>778</v>
      </c>
      <c r="C196" t="s">
        <v>99</v>
      </c>
      <c r="D196" t="s">
        <v>13</v>
      </c>
      <c r="E196" t="s">
        <v>24</v>
      </c>
      <c r="F196" t="s">
        <v>79</v>
      </c>
      <c r="G196" t="s">
        <v>779</v>
      </c>
      <c r="H196" t="s">
        <v>780</v>
      </c>
      <c r="I196" t="s">
        <v>49</v>
      </c>
      <c r="J196" t="s">
        <v>41</v>
      </c>
    </row>
    <row r="197" spans="1:10" x14ac:dyDescent="0.35">
      <c r="A197" t="s">
        <v>781</v>
      </c>
      <c r="B197" t="s">
        <v>782</v>
      </c>
      <c r="C197" t="s">
        <v>52</v>
      </c>
      <c r="D197" t="s">
        <v>13</v>
      </c>
      <c r="E197" t="s">
        <v>109</v>
      </c>
      <c r="F197" t="s">
        <v>74</v>
      </c>
      <c r="G197" t="s">
        <v>783</v>
      </c>
      <c r="H197" t="s">
        <v>784</v>
      </c>
      <c r="I197" t="s">
        <v>18</v>
      </c>
      <c r="J197" t="s">
        <v>33</v>
      </c>
    </row>
    <row r="198" spans="1:10" x14ac:dyDescent="0.35">
      <c r="A198" t="s">
        <v>785</v>
      </c>
      <c r="B198" t="s">
        <v>786</v>
      </c>
      <c r="C198" t="s">
        <v>52</v>
      </c>
      <c r="D198" t="s">
        <v>53</v>
      </c>
      <c r="E198" t="s">
        <v>14</v>
      </c>
      <c r="F198" t="s">
        <v>25</v>
      </c>
      <c r="G198" t="s">
        <v>787</v>
      </c>
      <c r="H198" t="s">
        <v>788</v>
      </c>
      <c r="I198" t="s">
        <v>32</v>
      </c>
      <c r="J198" t="s">
        <v>64</v>
      </c>
    </row>
    <row r="199" spans="1:10" x14ac:dyDescent="0.35">
      <c r="A199" t="s">
        <v>789</v>
      </c>
      <c r="B199" t="s">
        <v>790</v>
      </c>
      <c r="C199" t="s">
        <v>72</v>
      </c>
      <c r="D199" t="s">
        <v>23</v>
      </c>
      <c r="E199" t="s">
        <v>37</v>
      </c>
      <c r="F199" t="s">
        <v>46</v>
      </c>
      <c r="G199" t="s">
        <v>791</v>
      </c>
      <c r="H199" t="s">
        <v>792</v>
      </c>
      <c r="I199" t="s">
        <v>32</v>
      </c>
      <c r="J199" t="s">
        <v>41</v>
      </c>
    </row>
    <row r="200" spans="1:10" x14ac:dyDescent="0.35">
      <c r="A200" t="s">
        <v>793</v>
      </c>
      <c r="B200" t="s">
        <v>725</v>
      </c>
      <c r="C200" t="s">
        <v>22</v>
      </c>
      <c r="D200" t="s">
        <v>44</v>
      </c>
      <c r="E200" t="s">
        <v>37</v>
      </c>
      <c r="F200" t="s">
        <v>79</v>
      </c>
      <c r="G200" t="s">
        <v>794</v>
      </c>
      <c r="H200" t="s">
        <v>795</v>
      </c>
      <c r="I200" t="s">
        <v>18</v>
      </c>
      <c r="J200" t="s">
        <v>33</v>
      </c>
    </row>
    <row r="201" spans="1:10" x14ac:dyDescent="0.35">
      <c r="A201" t="s">
        <v>796</v>
      </c>
      <c r="B201" t="s">
        <v>797</v>
      </c>
      <c r="C201" t="s">
        <v>67</v>
      </c>
      <c r="D201" t="s">
        <v>73</v>
      </c>
      <c r="E201" t="s">
        <v>37</v>
      </c>
      <c r="F201" t="s">
        <v>15</v>
      </c>
      <c r="G201" t="s">
        <v>798</v>
      </c>
      <c r="H201" t="s">
        <v>799</v>
      </c>
      <c r="I201" t="s">
        <v>32</v>
      </c>
      <c r="J201" t="s">
        <v>19</v>
      </c>
    </row>
    <row r="202" spans="1:10" x14ac:dyDescent="0.35">
      <c r="A202" t="s">
        <v>800</v>
      </c>
      <c r="B202" t="s">
        <v>801</v>
      </c>
      <c r="C202" t="s">
        <v>12</v>
      </c>
      <c r="D202" t="s">
        <v>53</v>
      </c>
      <c r="E202" t="s">
        <v>109</v>
      </c>
      <c r="F202" t="s">
        <v>46</v>
      </c>
      <c r="G202" t="s">
        <v>802</v>
      </c>
      <c r="H202" t="s">
        <v>803</v>
      </c>
      <c r="I202" t="s">
        <v>18</v>
      </c>
      <c r="J202" t="s">
        <v>41</v>
      </c>
    </row>
    <row r="203" spans="1:10" x14ac:dyDescent="0.35">
      <c r="A203" t="s">
        <v>804</v>
      </c>
      <c r="B203" t="s">
        <v>805</v>
      </c>
      <c r="C203" t="s">
        <v>108</v>
      </c>
      <c r="D203" t="s">
        <v>36</v>
      </c>
      <c r="E203" t="s">
        <v>24</v>
      </c>
      <c r="F203" t="s">
        <v>38</v>
      </c>
      <c r="G203" t="s">
        <v>806</v>
      </c>
      <c r="H203" t="s">
        <v>807</v>
      </c>
      <c r="I203" t="s">
        <v>18</v>
      </c>
      <c r="J203" t="s">
        <v>64</v>
      </c>
    </row>
    <row r="204" spans="1:10" x14ac:dyDescent="0.35">
      <c r="A204" t="s">
        <v>808</v>
      </c>
      <c r="B204" t="s">
        <v>809</v>
      </c>
      <c r="C204" t="s">
        <v>108</v>
      </c>
      <c r="D204" t="s">
        <v>44</v>
      </c>
      <c r="E204" t="s">
        <v>14</v>
      </c>
      <c r="F204" t="s">
        <v>38</v>
      </c>
      <c r="G204" t="s">
        <v>810</v>
      </c>
      <c r="H204" t="s">
        <v>811</v>
      </c>
      <c r="I204" t="s">
        <v>18</v>
      </c>
      <c r="J204" t="s">
        <v>33</v>
      </c>
    </row>
    <row r="205" spans="1:10" x14ac:dyDescent="0.35">
      <c r="A205" t="s">
        <v>812</v>
      </c>
      <c r="B205" t="s">
        <v>813</v>
      </c>
      <c r="C205" t="s">
        <v>12</v>
      </c>
      <c r="D205" t="s">
        <v>44</v>
      </c>
      <c r="E205" t="s">
        <v>134</v>
      </c>
      <c r="F205" t="s">
        <v>25</v>
      </c>
      <c r="G205" t="s">
        <v>814</v>
      </c>
      <c r="H205" t="s">
        <v>815</v>
      </c>
      <c r="I205" t="s">
        <v>18</v>
      </c>
      <c r="J205" t="s">
        <v>33</v>
      </c>
    </row>
    <row r="206" spans="1:10" x14ac:dyDescent="0.35">
      <c r="A206" t="s">
        <v>816</v>
      </c>
      <c r="B206" t="s">
        <v>817</v>
      </c>
      <c r="C206" t="s">
        <v>52</v>
      </c>
      <c r="D206" t="s">
        <v>53</v>
      </c>
      <c r="E206" t="s">
        <v>24</v>
      </c>
      <c r="F206" t="s">
        <v>74</v>
      </c>
      <c r="G206" t="s">
        <v>818</v>
      </c>
      <c r="H206" t="s">
        <v>819</v>
      </c>
      <c r="I206" t="s">
        <v>32</v>
      </c>
      <c r="J206" t="s">
        <v>19</v>
      </c>
    </row>
    <row r="207" spans="1:10" x14ac:dyDescent="0.35">
      <c r="A207" t="s">
        <v>820</v>
      </c>
      <c r="B207" t="s">
        <v>579</v>
      </c>
      <c r="C207" t="s">
        <v>52</v>
      </c>
      <c r="D207" t="s">
        <v>53</v>
      </c>
      <c r="E207" t="s">
        <v>14</v>
      </c>
      <c r="F207" t="s">
        <v>15</v>
      </c>
      <c r="G207" t="s">
        <v>821</v>
      </c>
      <c r="H207" t="s">
        <v>822</v>
      </c>
      <c r="I207" t="s">
        <v>18</v>
      </c>
      <c r="J207" t="s">
        <v>19</v>
      </c>
    </row>
    <row r="208" spans="1:10" x14ac:dyDescent="0.35">
      <c r="A208" t="s">
        <v>823</v>
      </c>
      <c r="B208" t="s">
        <v>309</v>
      </c>
      <c r="C208" t="s">
        <v>72</v>
      </c>
      <c r="D208" t="s">
        <v>53</v>
      </c>
      <c r="E208" t="s">
        <v>45</v>
      </c>
      <c r="F208" t="s">
        <v>25</v>
      </c>
      <c r="G208" t="s">
        <v>824</v>
      </c>
      <c r="H208" t="s">
        <v>825</v>
      </c>
      <c r="I208" t="s">
        <v>32</v>
      </c>
      <c r="J208" t="s">
        <v>33</v>
      </c>
    </row>
    <row r="209" spans="1:10" x14ac:dyDescent="0.35">
      <c r="A209" t="s">
        <v>826</v>
      </c>
      <c r="B209" t="s">
        <v>827</v>
      </c>
      <c r="C209" t="s">
        <v>108</v>
      </c>
      <c r="D209" t="s">
        <v>53</v>
      </c>
      <c r="E209" t="s">
        <v>109</v>
      </c>
      <c r="F209" t="s">
        <v>46</v>
      </c>
      <c r="G209" t="s">
        <v>828</v>
      </c>
      <c r="H209" t="s">
        <v>829</v>
      </c>
      <c r="I209" t="s">
        <v>49</v>
      </c>
      <c r="J209" t="s">
        <v>19</v>
      </c>
    </row>
    <row r="210" spans="1:10" x14ac:dyDescent="0.35">
      <c r="A210" t="s">
        <v>830</v>
      </c>
      <c r="B210" t="s">
        <v>328</v>
      </c>
      <c r="C210" t="s">
        <v>67</v>
      </c>
      <c r="D210" t="s">
        <v>53</v>
      </c>
      <c r="E210" t="s">
        <v>14</v>
      </c>
      <c r="F210" t="s">
        <v>25</v>
      </c>
      <c r="G210" t="s">
        <v>831</v>
      </c>
      <c r="H210" t="s">
        <v>832</v>
      </c>
      <c r="I210" t="s">
        <v>18</v>
      </c>
      <c r="J210" t="s">
        <v>41</v>
      </c>
    </row>
    <row r="211" spans="1:10" x14ac:dyDescent="0.35">
      <c r="A211" t="s">
        <v>833</v>
      </c>
      <c r="B211" t="s">
        <v>138</v>
      </c>
      <c r="C211" t="s">
        <v>108</v>
      </c>
      <c r="D211" t="s">
        <v>44</v>
      </c>
      <c r="E211" t="s">
        <v>134</v>
      </c>
      <c r="F211" t="s">
        <v>79</v>
      </c>
      <c r="G211" t="s">
        <v>834</v>
      </c>
      <c r="H211" t="s">
        <v>835</v>
      </c>
      <c r="I211" t="s">
        <v>32</v>
      </c>
      <c r="J211" t="s">
        <v>19</v>
      </c>
    </row>
    <row r="212" spans="1:10" x14ac:dyDescent="0.35">
      <c r="A212" t="s">
        <v>836</v>
      </c>
      <c r="B212" t="s">
        <v>837</v>
      </c>
      <c r="C212" t="s">
        <v>99</v>
      </c>
      <c r="D212" t="s">
        <v>44</v>
      </c>
      <c r="E212" t="s">
        <v>37</v>
      </c>
      <c r="F212" t="s">
        <v>38</v>
      </c>
      <c r="G212" t="s">
        <v>838</v>
      </c>
      <c r="H212" t="s">
        <v>839</v>
      </c>
      <c r="I212" t="s">
        <v>18</v>
      </c>
      <c r="J212" t="s">
        <v>64</v>
      </c>
    </row>
    <row r="213" spans="1:10" x14ac:dyDescent="0.35">
      <c r="A213" t="s">
        <v>840</v>
      </c>
      <c r="B213" t="s">
        <v>841</v>
      </c>
      <c r="C213" t="s">
        <v>12</v>
      </c>
      <c r="D213" t="s">
        <v>23</v>
      </c>
      <c r="E213" t="s">
        <v>45</v>
      </c>
      <c r="F213" t="s">
        <v>15</v>
      </c>
      <c r="G213" t="s">
        <v>842</v>
      </c>
      <c r="H213" t="s">
        <v>843</v>
      </c>
      <c r="I213" t="s">
        <v>18</v>
      </c>
      <c r="J213" t="s">
        <v>41</v>
      </c>
    </row>
    <row r="214" spans="1:10" x14ac:dyDescent="0.35">
      <c r="A214" t="s">
        <v>844</v>
      </c>
      <c r="B214" t="s">
        <v>845</v>
      </c>
      <c r="C214" t="s">
        <v>52</v>
      </c>
      <c r="D214" t="s">
        <v>44</v>
      </c>
      <c r="E214" t="s">
        <v>24</v>
      </c>
      <c r="F214" t="s">
        <v>74</v>
      </c>
      <c r="G214" t="s">
        <v>846</v>
      </c>
      <c r="H214" t="s">
        <v>847</v>
      </c>
      <c r="I214" t="s">
        <v>49</v>
      </c>
      <c r="J214" t="s">
        <v>19</v>
      </c>
    </row>
    <row r="215" spans="1:10" x14ac:dyDescent="0.35">
      <c r="A215" t="s">
        <v>848</v>
      </c>
      <c r="B215" t="s">
        <v>849</v>
      </c>
      <c r="C215" t="s">
        <v>67</v>
      </c>
      <c r="D215" t="s">
        <v>44</v>
      </c>
      <c r="E215" t="s">
        <v>45</v>
      </c>
      <c r="F215" t="s">
        <v>79</v>
      </c>
      <c r="G215" t="s">
        <v>850</v>
      </c>
      <c r="H215" t="s">
        <v>851</v>
      </c>
      <c r="I215" t="s">
        <v>32</v>
      </c>
      <c r="J215" t="s">
        <v>33</v>
      </c>
    </row>
    <row r="216" spans="1:10" x14ac:dyDescent="0.35">
      <c r="A216" t="s">
        <v>852</v>
      </c>
      <c r="B216" t="s">
        <v>853</v>
      </c>
      <c r="C216" t="s">
        <v>67</v>
      </c>
      <c r="D216" t="s">
        <v>13</v>
      </c>
      <c r="E216" t="s">
        <v>45</v>
      </c>
      <c r="F216" t="s">
        <v>15</v>
      </c>
      <c r="G216" t="s">
        <v>854</v>
      </c>
      <c r="H216" t="s">
        <v>855</v>
      </c>
      <c r="I216" t="s">
        <v>32</v>
      </c>
      <c r="J216" t="s">
        <v>64</v>
      </c>
    </row>
    <row r="217" spans="1:10" x14ac:dyDescent="0.35">
      <c r="A217" t="s">
        <v>856</v>
      </c>
      <c r="B217" t="s">
        <v>857</v>
      </c>
      <c r="C217" t="s">
        <v>22</v>
      </c>
      <c r="D217" t="s">
        <v>53</v>
      </c>
      <c r="E217" t="s">
        <v>45</v>
      </c>
      <c r="F217" t="s">
        <v>38</v>
      </c>
      <c r="G217" t="s">
        <v>858</v>
      </c>
      <c r="H217" t="s">
        <v>859</v>
      </c>
      <c r="I217" t="s">
        <v>18</v>
      </c>
      <c r="J217" t="s">
        <v>64</v>
      </c>
    </row>
    <row r="218" spans="1:10" x14ac:dyDescent="0.35">
      <c r="A218" t="s">
        <v>860</v>
      </c>
      <c r="B218" t="s">
        <v>398</v>
      </c>
      <c r="C218" t="s">
        <v>72</v>
      </c>
      <c r="D218" t="s">
        <v>36</v>
      </c>
      <c r="E218" t="s">
        <v>24</v>
      </c>
      <c r="F218" t="s">
        <v>79</v>
      </c>
      <c r="G218" t="s">
        <v>861</v>
      </c>
      <c r="H218" t="s">
        <v>862</v>
      </c>
      <c r="I218" t="s">
        <v>49</v>
      </c>
      <c r="J218" t="s">
        <v>19</v>
      </c>
    </row>
    <row r="219" spans="1:10" x14ac:dyDescent="0.35">
      <c r="A219" t="s">
        <v>863</v>
      </c>
      <c r="B219" t="s">
        <v>302</v>
      </c>
      <c r="C219" t="s">
        <v>99</v>
      </c>
      <c r="D219" t="s">
        <v>73</v>
      </c>
      <c r="E219" t="s">
        <v>24</v>
      </c>
      <c r="F219" t="s">
        <v>46</v>
      </c>
      <c r="G219" t="s">
        <v>864</v>
      </c>
      <c r="H219" t="s">
        <v>865</v>
      </c>
      <c r="I219" t="s">
        <v>49</v>
      </c>
      <c r="J219" t="s">
        <v>64</v>
      </c>
    </row>
    <row r="220" spans="1:10" x14ac:dyDescent="0.35">
      <c r="A220" t="s">
        <v>866</v>
      </c>
      <c r="B220" t="s">
        <v>867</v>
      </c>
      <c r="C220" t="s">
        <v>72</v>
      </c>
      <c r="D220" t="s">
        <v>13</v>
      </c>
      <c r="E220" t="s">
        <v>14</v>
      </c>
      <c r="F220" t="s">
        <v>79</v>
      </c>
      <c r="G220" t="s">
        <v>868</v>
      </c>
      <c r="H220" t="s">
        <v>869</v>
      </c>
      <c r="I220" t="s">
        <v>32</v>
      </c>
      <c r="J220" t="s">
        <v>33</v>
      </c>
    </row>
    <row r="221" spans="1:10" x14ac:dyDescent="0.35">
      <c r="A221" t="s">
        <v>870</v>
      </c>
      <c r="B221" t="s">
        <v>871</v>
      </c>
      <c r="C221" t="s">
        <v>12</v>
      </c>
      <c r="D221" t="s">
        <v>36</v>
      </c>
      <c r="E221" t="s">
        <v>24</v>
      </c>
      <c r="F221" t="s">
        <v>74</v>
      </c>
      <c r="G221" t="s">
        <v>872</v>
      </c>
      <c r="H221" t="s">
        <v>873</v>
      </c>
      <c r="I221" t="s">
        <v>32</v>
      </c>
      <c r="J221" t="s">
        <v>64</v>
      </c>
    </row>
    <row r="222" spans="1:10" x14ac:dyDescent="0.35">
      <c r="A222" t="s">
        <v>874</v>
      </c>
      <c r="B222" t="s">
        <v>225</v>
      </c>
      <c r="C222" t="s">
        <v>108</v>
      </c>
      <c r="D222" t="s">
        <v>23</v>
      </c>
      <c r="E222" t="s">
        <v>14</v>
      </c>
      <c r="F222" t="s">
        <v>38</v>
      </c>
      <c r="G222" t="s">
        <v>875</v>
      </c>
      <c r="H222" t="s">
        <v>876</v>
      </c>
      <c r="I222" t="s">
        <v>18</v>
      </c>
      <c r="J222" t="s">
        <v>33</v>
      </c>
    </row>
    <row r="223" spans="1:10" x14ac:dyDescent="0.35">
      <c r="A223" t="s">
        <v>877</v>
      </c>
      <c r="B223" t="s">
        <v>113</v>
      </c>
      <c r="C223" t="s">
        <v>22</v>
      </c>
      <c r="D223" t="s">
        <v>13</v>
      </c>
      <c r="E223" t="s">
        <v>109</v>
      </c>
      <c r="F223" t="s">
        <v>15</v>
      </c>
      <c r="G223" t="s">
        <v>878</v>
      </c>
      <c r="H223" t="s">
        <v>879</v>
      </c>
      <c r="I223" t="s">
        <v>18</v>
      </c>
      <c r="J223" t="s">
        <v>41</v>
      </c>
    </row>
    <row r="224" spans="1:10" x14ac:dyDescent="0.35">
      <c r="A224" t="s">
        <v>880</v>
      </c>
      <c r="B224" t="s">
        <v>347</v>
      </c>
      <c r="C224" t="s">
        <v>108</v>
      </c>
      <c r="D224" t="s">
        <v>44</v>
      </c>
      <c r="E224" t="s">
        <v>24</v>
      </c>
      <c r="F224" t="s">
        <v>79</v>
      </c>
      <c r="G224" t="s">
        <v>881</v>
      </c>
      <c r="H224" t="s">
        <v>882</v>
      </c>
      <c r="I224" t="s">
        <v>49</v>
      </c>
      <c r="J224" t="s">
        <v>19</v>
      </c>
    </row>
    <row r="225" spans="1:10" x14ac:dyDescent="0.35">
      <c r="A225" t="s">
        <v>883</v>
      </c>
      <c r="B225" t="s">
        <v>515</v>
      </c>
      <c r="C225" t="s">
        <v>67</v>
      </c>
      <c r="D225" t="s">
        <v>44</v>
      </c>
      <c r="E225" t="s">
        <v>134</v>
      </c>
      <c r="F225" t="s">
        <v>79</v>
      </c>
      <c r="G225" t="s">
        <v>884</v>
      </c>
      <c r="H225" t="s">
        <v>885</v>
      </c>
      <c r="I225" t="s">
        <v>18</v>
      </c>
      <c r="J225" t="s">
        <v>41</v>
      </c>
    </row>
    <row r="226" spans="1:10" x14ac:dyDescent="0.35">
      <c r="A226" t="s">
        <v>886</v>
      </c>
      <c r="B226" t="s">
        <v>887</v>
      </c>
      <c r="C226" t="s">
        <v>67</v>
      </c>
      <c r="D226" t="s">
        <v>36</v>
      </c>
      <c r="E226" t="s">
        <v>37</v>
      </c>
      <c r="F226" t="s">
        <v>74</v>
      </c>
      <c r="G226" t="s">
        <v>888</v>
      </c>
      <c r="H226" t="s">
        <v>889</v>
      </c>
      <c r="I226" t="s">
        <v>18</v>
      </c>
      <c r="J226" t="s">
        <v>41</v>
      </c>
    </row>
    <row r="227" spans="1:10" x14ac:dyDescent="0.35">
      <c r="A227" t="s">
        <v>890</v>
      </c>
      <c r="B227" t="s">
        <v>891</v>
      </c>
      <c r="C227" t="s">
        <v>72</v>
      </c>
      <c r="D227" t="s">
        <v>23</v>
      </c>
      <c r="E227" t="s">
        <v>45</v>
      </c>
      <c r="F227" t="s">
        <v>79</v>
      </c>
      <c r="G227" t="s">
        <v>892</v>
      </c>
      <c r="H227" t="s">
        <v>893</v>
      </c>
      <c r="I227" t="s">
        <v>18</v>
      </c>
      <c r="J227" t="s">
        <v>33</v>
      </c>
    </row>
    <row r="228" spans="1:10" x14ac:dyDescent="0.35">
      <c r="A228" t="s">
        <v>894</v>
      </c>
      <c r="B228" t="s">
        <v>107</v>
      </c>
      <c r="C228" t="s">
        <v>22</v>
      </c>
      <c r="D228" t="s">
        <v>73</v>
      </c>
      <c r="E228" t="s">
        <v>134</v>
      </c>
      <c r="F228" t="s">
        <v>38</v>
      </c>
      <c r="G228" t="s">
        <v>895</v>
      </c>
      <c r="H228" t="s">
        <v>896</v>
      </c>
      <c r="I228" t="s">
        <v>49</v>
      </c>
      <c r="J228" t="s">
        <v>41</v>
      </c>
    </row>
    <row r="229" spans="1:10" x14ac:dyDescent="0.35">
      <c r="A229" t="s">
        <v>897</v>
      </c>
      <c r="B229" t="s">
        <v>898</v>
      </c>
      <c r="C229" t="s">
        <v>67</v>
      </c>
      <c r="D229" t="s">
        <v>73</v>
      </c>
      <c r="E229" t="s">
        <v>45</v>
      </c>
      <c r="F229" t="s">
        <v>46</v>
      </c>
      <c r="G229" t="s">
        <v>899</v>
      </c>
      <c r="H229" t="s">
        <v>900</v>
      </c>
      <c r="I229" t="s">
        <v>49</v>
      </c>
      <c r="J229" t="s">
        <v>19</v>
      </c>
    </row>
    <row r="230" spans="1:10" x14ac:dyDescent="0.35">
      <c r="A230" t="s">
        <v>901</v>
      </c>
      <c r="B230" t="s">
        <v>158</v>
      </c>
      <c r="C230" t="s">
        <v>52</v>
      </c>
      <c r="D230" t="s">
        <v>36</v>
      </c>
      <c r="E230" t="s">
        <v>134</v>
      </c>
      <c r="F230" t="s">
        <v>25</v>
      </c>
      <c r="G230" t="s">
        <v>902</v>
      </c>
      <c r="H230" t="s">
        <v>903</v>
      </c>
      <c r="I230" t="s">
        <v>32</v>
      </c>
      <c r="J230" t="s">
        <v>41</v>
      </c>
    </row>
    <row r="231" spans="1:10" x14ac:dyDescent="0.35">
      <c r="A231" t="s">
        <v>904</v>
      </c>
      <c r="B231" t="s">
        <v>729</v>
      </c>
      <c r="C231" t="s">
        <v>108</v>
      </c>
      <c r="D231" t="s">
        <v>36</v>
      </c>
      <c r="E231" t="s">
        <v>134</v>
      </c>
      <c r="F231" t="s">
        <v>79</v>
      </c>
      <c r="G231" t="s">
        <v>905</v>
      </c>
      <c r="H231" t="s">
        <v>906</v>
      </c>
      <c r="I231" t="s">
        <v>18</v>
      </c>
      <c r="J231" t="s">
        <v>64</v>
      </c>
    </row>
    <row r="232" spans="1:10" x14ac:dyDescent="0.35">
      <c r="A232" t="s">
        <v>907</v>
      </c>
      <c r="B232" t="s">
        <v>908</v>
      </c>
      <c r="C232" t="s">
        <v>72</v>
      </c>
      <c r="D232" t="s">
        <v>13</v>
      </c>
      <c r="E232" t="s">
        <v>14</v>
      </c>
      <c r="F232" t="s">
        <v>74</v>
      </c>
      <c r="G232" t="s">
        <v>909</v>
      </c>
      <c r="H232" t="s">
        <v>910</v>
      </c>
      <c r="I232" t="s">
        <v>49</v>
      </c>
      <c r="J232" t="s">
        <v>41</v>
      </c>
    </row>
    <row r="233" spans="1:10" x14ac:dyDescent="0.35">
      <c r="A233" t="s">
        <v>911</v>
      </c>
      <c r="B233" t="s">
        <v>98</v>
      </c>
      <c r="C233" t="s">
        <v>99</v>
      </c>
      <c r="D233" t="s">
        <v>73</v>
      </c>
      <c r="E233" t="s">
        <v>37</v>
      </c>
      <c r="F233" t="s">
        <v>46</v>
      </c>
      <c r="G233" t="s">
        <v>912</v>
      </c>
      <c r="H233" t="s">
        <v>913</v>
      </c>
      <c r="I233" t="s">
        <v>32</v>
      </c>
      <c r="J233" t="s">
        <v>33</v>
      </c>
    </row>
    <row r="234" spans="1:10" x14ac:dyDescent="0.35">
      <c r="A234" t="s">
        <v>914</v>
      </c>
      <c r="B234" t="s">
        <v>915</v>
      </c>
      <c r="C234" t="s">
        <v>22</v>
      </c>
      <c r="D234" t="s">
        <v>13</v>
      </c>
      <c r="E234" t="s">
        <v>24</v>
      </c>
      <c r="F234" t="s">
        <v>74</v>
      </c>
      <c r="G234" t="s">
        <v>916</v>
      </c>
      <c r="H234" t="s">
        <v>917</v>
      </c>
      <c r="I234" t="s">
        <v>32</v>
      </c>
      <c r="J234" t="s">
        <v>64</v>
      </c>
    </row>
    <row r="235" spans="1:10" x14ac:dyDescent="0.35">
      <c r="A235" t="s">
        <v>918</v>
      </c>
      <c r="B235" t="s">
        <v>919</v>
      </c>
      <c r="C235" t="s">
        <v>99</v>
      </c>
      <c r="D235" t="s">
        <v>23</v>
      </c>
      <c r="E235" t="s">
        <v>14</v>
      </c>
      <c r="F235" t="s">
        <v>46</v>
      </c>
      <c r="G235" t="s">
        <v>920</v>
      </c>
      <c r="H235" t="s">
        <v>921</v>
      </c>
      <c r="I235" t="s">
        <v>32</v>
      </c>
      <c r="J235" t="s">
        <v>41</v>
      </c>
    </row>
    <row r="236" spans="1:10" x14ac:dyDescent="0.35">
      <c r="A236" t="s">
        <v>922</v>
      </c>
      <c r="B236" t="s">
        <v>923</v>
      </c>
      <c r="C236" t="s">
        <v>67</v>
      </c>
      <c r="D236" t="s">
        <v>36</v>
      </c>
      <c r="E236" t="s">
        <v>24</v>
      </c>
      <c r="F236" t="s">
        <v>15</v>
      </c>
      <c r="G236" t="s">
        <v>924</v>
      </c>
      <c r="H236" t="s">
        <v>925</v>
      </c>
      <c r="I236" t="s">
        <v>49</v>
      </c>
      <c r="J236" t="s">
        <v>41</v>
      </c>
    </row>
    <row r="237" spans="1:10" x14ac:dyDescent="0.35">
      <c r="A237" t="s">
        <v>926</v>
      </c>
      <c r="B237" t="s">
        <v>927</v>
      </c>
      <c r="C237" t="s">
        <v>99</v>
      </c>
      <c r="D237" t="s">
        <v>73</v>
      </c>
      <c r="E237" t="s">
        <v>134</v>
      </c>
      <c r="F237" t="s">
        <v>15</v>
      </c>
      <c r="G237" t="s">
        <v>928</v>
      </c>
      <c r="H237" t="s">
        <v>929</v>
      </c>
      <c r="I237" t="s">
        <v>32</v>
      </c>
      <c r="J237" t="s">
        <v>33</v>
      </c>
    </row>
    <row r="238" spans="1:10" x14ac:dyDescent="0.35">
      <c r="A238" t="s">
        <v>930</v>
      </c>
      <c r="B238" t="s">
        <v>275</v>
      </c>
      <c r="C238" t="s">
        <v>108</v>
      </c>
      <c r="D238" t="s">
        <v>44</v>
      </c>
      <c r="E238" t="s">
        <v>24</v>
      </c>
      <c r="F238" t="s">
        <v>38</v>
      </c>
      <c r="G238" t="s">
        <v>931</v>
      </c>
      <c r="H238" t="s">
        <v>932</v>
      </c>
      <c r="I238" t="s">
        <v>32</v>
      </c>
      <c r="J238" t="s">
        <v>33</v>
      </c>
    </row>
    <row r="239" spans="1:10" x14ac:dyDescent="0.35">
      <c r="A239" t="s">
        <v>933</v>
      </c>
      <c r="B239" t="s">
        <v>813</v>
      </c>
      <c r="C239" t="s">
        <v>108</v>
      </c>
      <c r="D239" t="s">
        <v>44</v>
      </c>
      <c r="E239" t="s">
        <v>24</v>
      </c>
      <c r="F239" t="s">
        <v>74</v>
      </c>
      <c r="G239" t="s">
        <v>934</v>
      </c>
      <c r="H239" t="s">
        <v>935</v>
      </c>
      <c r="I239" t="s">
        <v>18</v>
      </c>
      <c r="J239" t="s">
        <v>33</v>
      </c>
    </row>
    <row r="240" spans="1:10" x14ac:dyDescent="0.35">
      <c r="A240" t="s">
        <v>936</v>
      </c>
      <c r="B240" t="s">
        <v>90</v>
      </c>
      <c r="C240" t="s">
        <v>99</v>
      </c>
      <c r="D240" t="s">
        <v>73</v>
      </c>
      <c r="E240" t="s">
        <v>14</v>
      </c>
      <c r="F240" t="s">
        <v>46</v>
      </c>
      <c r="G240" t="s">
        <v>937</v>
      </c>
      <c r="H240" t="s">
        <v>938</v>
      </c>
      <c r="I240" t="s">
        <v>32</v>
      </c>
      <c r="J240" t="s">
        <v>19</v>
      </c>
    </row>
    <row r="241" spans="1:10" x14ac:dyDescent="0.35">
      <c r="A241" t="s">
        <v>939</v>
      </c>
      <c r="B241" t="s">
        <v>940</v>
      </c>
      <c r="C241" t="s">
        <v>72</v>
      </c>
      <c r="D241" t="s">
        <v>23</v>
      </c>
      <c r="E241" t="s">
        <v>45</v>
      </c>
      <c r="F241" t="s">
        <v>46</v>
      </c>
      <c r="G241" t="s">
        <v>941</v>
      </c>
      <c r="H241" t="s">
        <v>942</v>
      </c>
      <c r="I241" t="s">
        <v>18</v>
      </c>
      <c r="J241" t="s">
        <v>41</v>
      </c>
    </row>
    <row r="242" spans="1:10" x14ac:dyDescent="0.35">
      <c r="A242" t="s">
        <v>943</v>
      </c>
      <c r="B242" t="s">
        <v>539</v>
      </c>
      <c r="C242" t="s">
        <v>108</v>
      </c>
      <c r="D242" t="s">
        <v>23</v>
      </c>
      <c r="E242" t="s">
        <v>37</v>
      </c>
      <c r="F242" t="s">
        <v>38</v>
      </c>
      <c r="G242" t="s">
        <v>944</v>
      </c>
      <c r="H242" t="s">
        <v>945</v>
      </c>
      <c r="I242" t="s">
        <v>49</v>
      </c>
      <c r="J242" t="s">
        <v>64</v>
      </c>
    </row>
    <row r="243" spans="1:10" x14ac:dyDescent="0.35">
      <c r="A243" t="s">
        <v>946</v>
      </c>
      <c r="B243" t="s">
        <v>827</v>
      </c>
      <c r="C243" t="s">
        <v>108</v>
      </c>
      <c r="D243" t="s">
        <v>53</v>
      </c>
      <c r="E243" t="s">
        <v>37</v>
      </c>
      <c r="F243" t="s">
        <v>74</v>
      </c>
      <c r="G243" t="s">
        <v>947</v>
      </c>
      <c r="H243" t="s">
        <v>948</v>
      </c>
      <c r="I243" t="s">
        <v>18</v>
      </c>
      <c r="J243" t="s">
        <v>33</v>
      </c>
    </row>
    <row r="244" spans="1:10" x14ac:dyDescent="0.35">
      <c r="A244" t="s">
        <v>949</v>
      </c>
      <c r="B244" t="s">
        <v>950</v>
      </c>
      <c r="C244" t="s">
        <v>108</v>
      </c>
      <c r="D244" t="s">
        <v>23</v>
      </c>
      <c r="E244" t="s">
        <v>109</v>
      </c>
      <c r="F244" t="s">
        <v>46</v>
      </c>
      <c r="G244" t="s">
        <v>951</v>
      </c>
      <c r="H244" t="s">
        <v>952</v>
      </c>
      <c r="I244" t="s">
        <v>32</v>
      </c>
      <c r="J244" t="s">
        <v>64</v>
      </c>
    </row>
    <row r="245" spans="1:10" x14ac:dyDescent="0.35">
      <c r="A245" t="s">
        <v>953</v>
      </c>
      <c r="B245" t="s">
        <v>954</v>
      </c>
      <c r="C245" t="s">
        <v>12</v>
      </c>
      <c r="D245" t="s">
        <v>73</v>
      </c>
      <c r="E245" t="s">
        <v>134</v>
      </c>
      <c r="F245" t="s">
        <v>79</v>
      </c>
      <c r="G245" t="s">
        <v>955</v>
      </c>
      <c r="H245" t="s">
        <v>956</v>
      </c>
      <c r="I245" t="s">
        <v>32</v>
      </c>
      <c r="J245" t="s">
        <v>41</v>
      </c>
    </row>
    <row r="246" spans="1:10" x14ac:dyDescent="0.35">
      <c r="A246" t="s">
        <v>957</v>
      </c>
      <c r="B246" t="s">
        <v>390</v>
      </c>
      <c r="C246" t="s">
        <v>72</v>
      </c>
      <c r="D246" t="s">
        <v>53</v>
      </c>
      <c r="E246" t="s">
        <v>109</v>
      </c>
      <c r="F246" t="s">
        <v>25</v>
      </c>
      <c r="G246" t="s">
        <v>958</v>
      </c>
      <c r="H246" t="s">
        <v>959</v>
      </c>
      <c r="I246" t="s">
        <v>49</v>
      </c>
      <c r="J246" t="s">
        <v>33</v>
      </c>
    </row>
    <row r="247" spans="1:10" x14ac:dyDescent="0.35">
      <c r="A247" t="s">
        <v>960</v>
      </c>
      <c r="B247" t="s">
        <v>504</v>
      </c>
      <c r="C247" t="s">
        <v>108</v>
      </c>
      <c r="D247" t="s">
        <v>73</v>
      </c>
      <c r="E247" t="s">
        <v>109</v>
      </c>
      <c r="F247" t="s">
        <v>79</v>
      </c>
      <c r="G247" t="s">
        <v>961</v>
      </c>
      <c r="H247" t="s">
        <v>962</v>
      </c>
      <c r="I247" t="s">
        <v>18</v>
      </c>
      <c r="J247" t="s">
        <v>64</v>
      </c>
    </row>
    <row r="248" spans="1:10" x14ac:dyDescent="0.35">
      <c r="A248" t="s">
        <v>963</v>
      </c>
      <c r="B248" t="s">
        <v>358</v>
      </c>
      <c r="C248" t="s">
        <v>99</v>
      </c>
      <c r="D248" t="s">
        <v>36</v>
      </c>
      <c r="E248" t="s">
        <v>37</v>
      </c>
      <c r="F248" t="s">
        <v>15</v>
      </c>
      <c r="G248" t="s">
        <v>964</v>
      </c>
      <c r="H248" t="s">
        <v>965</v>
      </c>
      <c r="I248" t="s">
        <v>49</v>
      </c>
      <c r="J248" t="s">
        <v>41</v>
      </c>
    </row>
    <row r="249" spans="1:10" x14ac:dyDescent="0.35">
      <c r="A249" t="s">
        <v>966</v>
      </c>
      <c r="B249" t="s">
        <v>286</v>
      </c>
      <c r="C249" t="s">
        <v>67</v>
      </c>
      <c r="D249" t="s">
        <v>53</v>
      </c>
      <c r="E249" t="s">
        <v>109</v>
      </c>
      <c r="F249" t="s">
        <v>46</v>
      </c>
      <c r="G249" t="s">
        <v>967</v>
      </c>
      <c r="H249" t="s">
        <v>968</v>
      </c>
      <c r="I249" t="s">
        <v>32</v>
      </c>
      <c r="J249" t="s">
        <v>41</v>
      </c>
    </row>
    <row r="250" spans="1:10" x14ac:dyDescent="0.35">
      <c r="A250" t="s">
        <v>969</v>
      </c>
      <c r="B250" t="s">
        <v>66</v>
      </c>
      <c r="C250" t="s">
        <v>99</v>
      </c>
      <c r="D250" t="s">
        <v>23</v>
      </c>
      <c r="E250" t="s">
        <v>37</v>
      </c>
      <c r="F250" t="s">
        <v>79</v>
      </c>
      <c r="G250" t="s">
        <v>970</v>
      </c>
      <c r="H250" t="s">
        <v>971</v>
      </c>
      <c r="I250" t="s">
        <v>49</v>
      </c>
      <c r="J250" t="s">
        <v>64</v>
      </c>
    </row>
    <row r="251" spans="1:10" x14ac:dyDescent="0.35">
      <c r="A251" t="s">
        <v>972</v>
      </c>
      <c r="B251" t="s">
        <v>973</v>
      </c>
      <c r="C251" t="s">
        <v>108</v>
      </c>
      <c r="D251" t="s">
        <v>73</v>
      </c>
      <c r="E251" t="s">
        <v>109</v>
      </c>
      <c r="F251" t="s">
        <v>46</v>
      </c>
      <c r="G251" t="s">
        <v>974</v>
      </c>
      <c r="H251" t="s">
        <v>975</v>
      </c>
      <c r="I251" t="s">
        <v>18</v>
      </c>
      <c r="J251" t="s">
        <v>41</v>
      </c>
    </row>
    <row r="252" spans="1:10" x14ac:dyDescent="0.35">
      <c r="A252" t="s">
        <v>976</v>
      </c>
      <c r="B252" t="s">
        <v>736</v>
      </c>
      <c r="C252" t="s">
        <v>67</v>
      </c>
      <c r="D252" t="s">
        <v>13</v>
      </c>
      <c r="E252" t="s">
        <v>37</v>
      </c>
      <c r="F252" t="s">
        <v>79</v>
      </c>
      <c r="G252" t="s">
        <v>977</v>
      </c>
      <c r="H252" t="s">
        <v>978</v>
      </c>
      <c r="I252" t="s">
        <v>32</v>
      </c>
      <c r="J252" t="s">
        <v>41</v>
      </c>
    </row>
    <row r="253" spans="1:10" x14ac:dyDescent="0.35">
      <c r="A253" t="s">
        <v>979</v>
      </c>
      <c r="B253" t="s">
        <v>980</v>
      </c>
      <c r="C253" t="s">
        <v>67</v>
      </c>
      <c r="D253" t="s">
        <v>23</v>
      </c>
      <c r="E253" t="s">
        <v>37</v>
      </c>
      <c r="F253" t="s">
        <v>15</v>
      </c>
      <c r="G253" t="s">
        <v>981</v>
      </c>
      <c r="H253" t="s">
        <v>982</v>
      </c>
      <c r="I253" t="s">
        <v>49</v>
      </c>
      <c r="J253" t="s">
        <v>19</v>
      </c>
    </row>
    <row r="254" spans="1:10" x14ac:dyDescent="0.35">
      <c r="A254" t="s">
        <v>983</v>
      </c>
      <c r="B254" t="s">
        <v>984</v>
      </c>
      <c r="C254" t="s">
        <v>108</v>
      </c>
      <c r="D254" t="s">
        <v>36</v>
      </c>
      <c r="E254" t="s">
        <v>37</v>
      </c>
      <c r="F254" t="s">
        <v>25</v>
      </c>
      <c r="G254" t="s">
        <v>985</v>
      </c>
      <c r="H254" t="s">
        <v>986</v>
      </c>
      <c r="I254" t="s">
        <v>32</v>
      </c>
      <c r="J254" t="s">
        <v>33</v>
      </c>
    </row>
    <row r="255" spans="1:10" x14ac:dyDescent="0.35">
      <c r="A255" t="s">
        <v>987</v>
      </c>
      <c r="B255" t="s">
        <v>988</v>
      </c>
      <c r="C255" t="s">
        <v>67</v>
      </c>
      <c r="D255" t="s">
        <v>23</v>
      </c>
      <c r="E255" t="s">
        <v>109</v>
      </c>
      <c r="F255" t="s">
        <v>38</v>
      </c>
      <c r="G255" t="s">
        <v>989</v>
      </c>
      <c r="H255" t="s">
        <v>990</v>
      </c>
      <c r="I255" t="s">
        <v>49</v>
      </c>
      <c r="J255" t="s">
        <v>19</v>
      </c>
    </row>
    <row r="256" spans="1:10" x14ac:dyDescent="0.35">
      <c r="A256" t="s">
        <v>991</v>
      </c>
      <c r="B256" t="s">
        <v>419</v>
      </c>
      <c r="C256" t="s">
        <v>52</v>
      </c>
      <c r="D256" t="s">
        <v>73</v>
      </c>
      <c r="E256" t="s">
        <v>14</v>
      </c>
      <c r="F256" t="s">
        <v>25</v>
      </c>
      <c r="G256" t="s">
        <v>992</v>
      </c>
      <c r="H256" t="s">
        <v>993</v>
      </c>
      <c r="I256" t="s">
        <v>18</v>
      </c>
      <c r="J256" t="s">
        <v>41</v>
      </c>
    </row>
    <row r="257" spans="1:10" x14ac:dyDescent="0.35">
      <c r="A257" t="s">
        <v>994</v>
      </c>
      <c r="B257" t="s">
        <v>83</v>
      </c>
      <c r="C257" t="s">
        <v>52</v>
      </c>
      <c r="D257" t="s">
        <v>73</v>
      </c>
      <c r="E257" t="s">
        <v>134</v>
      </c>
      <c r="F257" t="s">
        <v>38</v>
      </c>
      <c r="G257" t="s">
        <v>995</v>
      </c>
      <c r="H257" t="s">
        <v>996</v>
      </c>
      <c r="I257" t="s">
        <v>49</v>
      </c>
      <c r="J257" t="s">
        <v>64</v>
      </c>
    </row>
    <row r="258" spans="1:10" x14ac:dyDescent="0.35">
      <c r="A258" t="s">
        <v>997</v>
      </c>
      <c r="B258" t="s">
        <v>998</v>
      </c>
      <c r="C258" t="s">
        <v>67</v>
      </c>
      <c r="D258" t="s">
        <v>23</v>
      </c>
      <c r="E258" t="s">
        <v>134</v>
      </c>
      <c r="F258" t="s">
        <v>25</v>
      </c>
      <c r="G258" t="s">
        <v>999</v>
      </c>
      <c r="H258" t="s">
        <v>1000</v>
      </c>
      <c r="I258" t="s">
        <v>32</v>
      </c>
      <c r="J258" t="s">
        <v>64</v>
      </c>
    </row>
    <row r="259" spans="1:10" x14ac:dyDescent="0.35">
      <c r="A259" t="s">
        <v>1001</v>
      </c>
      <c r="B259" t="s">
        <v>249</v>
      </c>
      <c r="C259" t="s">
        <v>108</v>
      </c>
      <c r="D259" t="s">
        <v>73</v>
      </c>
      <c r="E259" t="s">
        <v>109</v>
      </c>
      <c r="F259" t="s">
        <v>46</v>
      </c>
      <c r="G259" t="s">
        <v>1002</v>
      </c>
      <c r="H259" t="s">
        <v>1003</v>
      </c>
      <c r="I259" t="s">
        <v>18</v>
      </c>
      <c r="J259" t="s">
        <v>33</v>
      </c>
    </row>
    <row r="260" spans="1:10" x14ac:dyDescent="0.35">
      <c r="A260" t="s">
        <v>1004</v>
      </c>
      <c r="B260" t="s">
        <v>229</v>
      </c>
      <c r="C260" t="s">
        <v>67</v>
      </c>
      <c r="D260" t="s">
        <v>36</v>
      </c>
      <c r="E260" t="s">
        <v>109</v>
      </c>
      <c r="F260" t="s">
        <v>15</v>
      </c>
      <c r="G260" t="s">
        <v>1005</v>
      </c>
      <c r="H260" t="s">
        <v>1006</v>
      </c>
      <c r="I260" t="s">
        <v>18</v>
      </c>
      <c r="J260" t="s">
        <v>41</v>
      </c>
    </row>
    <row r="261" spans="1:10" x14ac:dyDescent="0.35">
      <c r="A261" t="s">
        <v>1007</v>
      </c>
      <c r="B261" t="s">
        <v>923</v>
      </c>
      <c r="C261" t="s">
        <v>99</v>
      </c>
      <c r="D261" t="s">
        <v>13</v>
      </c>
      <c r="E261" t="s">
        <v>37</v>
      </c>
      <c r="F261" t="s">
        <v>38</v>
      </c>
      <c r="G261" t="s">
        <v>1008</v>
      </c>
      <c r="H261" t="s">
        <v>1009</v>
      </c>
      <c r="I261" t="s">
        <v>49</v>
      </c>
      <c r="J261" t="s">
        <v>19</v>
      </c>
    </row>
    <row r="262" spans="1:10" x14ac:dyDescent="0.35">
      <c r="A262" t="s">
        <v>1010</v>
      </c>
      <c r="B262" t="s">
        <v>1011</v>
      </c>
      <c r="C262" t="s">
        <v>12</v>
      </c>
      <c r="D262" t="s">
        <v>73</v>
      </c>
      <c r="E262" t="s">
        <v>45</v>
      </c>
      <c r="F262" t="s">
        <v>38</v>
      </c>
      <c r="G262" t="s">
        <v>1012</v>
      </c>
      <c r="H262" t="s">
        <v>1013</v>
      </c>
      <c r="I262" t="s">
        <v>18</v>
      </c>
      <c r="J262" t="s">
        <v>33</v>
      </c>
    </row>
    <row r="263" spans="1:10" x14ac:dyDescent="0.35">
      <c r="A263" t="s">
        <v>1014</v>
      </c>
      <c r="B263" t="s">
        <v>1015</v>
      </c>
      <c r="C263" t="s">
        <v>108</v>
      </c>
      <c r="D263" t="s">
        <v>13</v>
      </c>
      <c r="E263" t="s">
        <v>37</v>
      </c>
      <c r="F263" t="s">
        <v>15</v>
      </c>
      <c r="G263" t="s">
        <v>1016</v>
      </c>
      <c r="H263" t="s">
        <v>1017</v>
      </c>
      <c r="I263" t="s">
        <v>49</v>
      </c>
      <c r="J263" t="s">
        <v>19</v>
      </c>
    </row>
    <row r="264" spans="1:10" x14ac:dyDescent="0.35">
      <c r="A264" t="s">
        <v>1018</v>
      </c>
      <c r="B264" t="s">
        <v>1019</v>
      </c>
      <c r="C264" t="s">
        <v>12</v>
      </c>
      <c r="D264" t="s">
        <v>23</v>
      </c>
      <c r="E264" t="s">
        <v>134</v>
      </c>
      <c r="F264" t="s">
        <v>74</v>
      </c>
      <c r="G264" t="s">
        <v>1020</v>
      </c>
      <c r="H264" t="s">
        <v>1021</v>
      </c>
      <c r="I264" t="s">
        <v>49</v>
      </c>
      <c r="J264" t="s">
        <v>64</v>
      </c>
    </row>
    <row r="265" spans="1:10" x14ac:dyDescent="0.35">
      <c r="A265" t="s">
        <v>1022</v>
      </c>
      <c r="B265" t="s">
        <v>249</v>
      </c>
      <c r="C265" t="s">
        <v>72</v>
      </c>
      <c r="D265" t="s">
        <v>44</v>
      </c>
      <c r="E265" t="s">
        <v>24</v>
      </c>
      <c r="F265" t="s">
        <v>74</v>
      </c>
      <c r="G265" t="s">
        <v>1023</v>
      </c>
      <c r="H265" t="s">
        <v>1024</v>
      </c>
      <c r="I265" t="s">
        <v>18</v>
      </c>
      <c r="J265" t="s">
        <v>19</v>
      </c>
    </row>
    <row r="266" spans="1:10" x14ac:dyDescent="0.35">
      <c r="A266" t="s">
        <v>1025</v>
      </c>
      <c r="B266" t="s">
        <v>174</v>
      </c>
      <c r="C266" t="s">
        <v>22</v>
      </c>
      <c r="D266" t="s">
        <v>36</v>
      </c>
      <c r="E266" t="s">
        <v>37</v>
      </c>
      <c r="F266" t="s">
        <v>25</v>
      </c>
      <c r="G266" t="s">
        <v>1026</v>
      </c>
      <c r="H266" t="s">
        <v>1027</v>
      </c>
      <c r="I266" t="s">
        <v>32</v>
      </c>
      <c r="J266" t="s">
        <v>41</v>
      </c>
    </row>
    <row r="267" spans="1:10" x14ac:dyDescent="0.35">
      <c r="A267" t="s">
        <v>1028</v>
      </c>
      <c r="B267" t="s">
        <v>1029</v>
      </c>
      <c r="C267" t="s">
        <v>108</v>
      </c>
      <c r="D267" t="s">
        <v>73</v>
      </c>
      <c r="E267" t="s">
        <v>24</v>
      </c>
      <c r="F267" t="s">
        <v>25</v>
      </c>
      <c r="G267" t="s">
        <v>1030</v>
      </c>
      <c r="H267" t="s">
        <v>1031</v>
      </c>
      <c r="I267" t="s">
        <v>49</v>
      </c>
      <c r="J267" t="s">
        <v>19</v>
      </c>
    </row>
    <row r="268" spans="1:10" x14ac:dyDescent="0.35">
      <c r="A268" t="s">
        <v>1032</v>
      </c>
      <c r="B268" t="s">
        <v>743</v>
      </c>
      <c r="C268" t="s">
        <v>108</v>
      </c>
      <c r="D268" t="s">
        <v>73</v>
      </c>
      <c r="E268" t="s">
        <v>109</v>
      </c>
      <c r="F268" t="s">
        <v>38</v>
      </c>
      <c r="G268" t="s">
        <v>1033</v>
      </c>
      <c r="H268" t="s">
        <v>1034</v>
      </c>
      <c r="I268" t="s">
        <v>18</v>
      </c>
      <c r="J268" t="s">
        <v>41</v>
      </c>
    </row>
    <row r="269" spans="1:10" x14ac:dyDescent="0.35">
      <c r="A269" t="s">
        <v>1035</v>
      </c>
      <c r="B269" t="s">
        <v>927</v>
      </c>
      <c r="C269" t="s">
        <v>52</v>
      </c>
      <c r="D269" t="s">
        <v>36</v>
      </c>
      <c r="E269" t="s">
        <v>37</v>
      </c>
      <c r="F269" t="s">
        <v>79</v>
      </c>
      <c r="G269" t="s">
        <v>1036</v>
      </c>
      <c r="H269" t="s">
        <v>1037</v>
      </c>
      <c r="I269" t="s">
        <v>18</v>
      </c>
      <c r="J269" t="s">
        <v>64</v>
      </c>
    </row>
    <row r="270" spans="1:10" x14ac:dyDescent="0.35">
      <c r="A270" t="s">
        <v>1038</v>
      </c>
      <c r="B270" t="s">
        <v>1039</v>
      </c>
      <c r="C270" t="s">
        <v>108</v>
      </c>
      <c r="D270" t="s">
        <v>36</v>
      </c>
      <c r="E270" t="s">
        <v>45</v>
      </c>
      <c r="F270" t="s">
        <v>74</v>
      </c>
      <c r="G270" t="s">
        <v>1040</v>
      </c>
      <c r="H270" t="s">
        <v>1041</v>
      </c>
      <c r="I270" t="s">
        <v>18</v>
      </c>
      <c r="J270" t="s">
        <v>64</v>
      </c>
    </row>
    <row r="271" spans="1:10" x14ac:dyDescent="0.35">
      <c r="A271" t="s">
        <v>1042</v>
      </c>
      <c r="B271" t="s">
        <v>583</v>
      </c>
      <c r="C271" t="s">
        <v>67</v>
      </c>
      <c r="D271" t="s">
        <v>23</v>
      </c>
      <c r="E271" t="s">
        <v>134</v>
      </c>
      <c r="F271" t="s">
        <v>79</v>
      </c>
      <c r="G271" t="s">
        <v>1043</v>
      </c>
      <c r="H271" t="s">
        <v>1044</v>
      </c>
      <c r="I271" t="s">
        <v>49</v>
      </c>
      <c r="J271" t="s">
        <v>19</v>
      </c>
    </row>
    <row r="272" spans="1:10" x14ac:dyDescent="0.35">
      <c r="A272" t="s">
        <v>1045</v>
      </c>
      <c r="B272" t="s">
        <v>205</v>
      </c>
      <c r="C272" t="s">
        <v>22</v>
      </c>
      <c r="D272" t="s">
        <v>13</v>
      </c>
      <c r="E272" t="s">
        <v>24</v>
      </c>
      <c r="F272" t="s">
        <v>74</v>
      </c>
      <c r="G272" t="s">
        <v>1046</v>
      </c>
      <c r="H272" t="s">
        <v>1047</v>
      </c>
      <c r="I272" t="s">
        <v>32</v>
      </c>
      <c r="J272" t="s">
        <v>19</v>
      </c>
    </row>
    <row r="273" spans="1:10" x14ac:dyDescent="0.35">
      <c r="A273" t="s">
        <v>1048</v>
      </c>
      <c r="B273" t="s">
        <v>817</v>
      </c>
      <c r="C273" t="s">
        <v>67</v>
      </c>
      <c r="D273" t="s">
        <v>73</v>
      </c>
      <c r="E273" t="s">
        <v>134</v>
      </c>
      <c r="F273" t="s">
        <v>74</v>
      </c>
      <c r="G273" t="s">
        <v>1049</v>
      </c>
      <c r="H273" t="s">
        <v>1050</v>
      </c>
      <c r="I273" t="s">
        <v>49</v>
      </c>
      <c r="J273" t="s">
        <v>64</v>
      </c>
    </row>
    <row r="274" spans="1:10" x14ac:dyDescent="0.35">
      <c r="A274" t="s">
        <v>1051</v>
      </c>
      <c r="B274" t="s">
        <v>383</v>
      </c>
      <c r="C274" t="s">
        <v>72</v>
      </c>
      <c r="D274" t="s">
        <v>36</v>
      </c>
      <c r="E274" t="s">
        <v>134</v>
      </c>
      <c r="F274" t="s">
        <v>46</v>
      </c>
      <c r="G274" t="s">
        <v>1052</v>
      </c>
      <c r="H274" t="s">
        <v>1053</v>
      </c>
      <c r="I274" t="s">
        <v>32</v>
      </c>
      <c r="J274" t="s">
        <v>33</v>
      </c>
    </row>
    <row r="275" spans="1:10" x14ac:dyDescent="0.35">
      <c r="A275" t="s">
        <v>1054</v>
      </c>
      <c r="B275" t="s">
        <v>1055</v>
      </c>
      <c r="C275" t="s">
        <v>52</v>
      </c>
      <c r="D275" t="s">
        <v>13</v>
      </c>
      <c r="E275" t="s">
        <v>37</v>
      </c>
      <c r="F275" t="s">
        <v>25</v>
      </c>
      <c r="G275" t="s">
        <v>1056</v>
      </c>
      <c r="H275" t="s">
        <v>1057</v>
      </c>
      <c r="I275" t="s">
        <v>32</v>
      </c>
      <c r="J275" t="s">
        <v>19</v>
      </c>
    </row>
    <row r="276" spans="1:10" x14ac:dyDescent="0.35">
      <c r="A276" t="s">
        <v>1058</v>
      </c>
      <c r="B276" t="s">
        <v>182</v>
      </c>
      <c r="C276" t="s">
        <v>99</v>
      </c>
      <c r="D276" t="s">
        <v>73</v>
      </c>
      <c r="E276" t="s">
        <v>134</v>
      </c>
      <c r="F276" t="s">
        <v>79</v>
      </c>
      <c r="G276" t="s">
        <v>1059</v>
      </c>
      <c r="H276" t="s">
        <v>1060</v>
      </c>
      <c r="I276" t="s">
        <v>32</v>
      </c>
      <c r="J276" t="s">
        <v>64</v>
      </c>
    </row>
    <row r="277" spans="1:10" x14ac:dyDescent="0.35">
      <c r="A277" t="s">
        <v>1061</v>
      </c>
      <c r="B277" t="s">
        <v>1062</v>
      </c>
      <c r="C277" t="s">
        <v>22</v>
      </c>
      <c r="D277" t="s">
        <v>44</v>
      </c>
      <c r="E277" t="s">
        <v>14</v>
      </c>
      <c r="F277" t="s">
        <v>74</v>
      </c>
      <c r="G277" t="s">
        <v>1063</v>
      </c>
      <c r="H277" t="s">
        <v>1064</v>
      </c>
      <c r="I277" t="s">
        <v>18</v>
      </c>
      <c r="J277" t="s">
        <v>41</v>
      </c>
    </row>
    <row r="278" spans="1:10" x14ac:dyDescent="0.35">
      <c r="A278" t="s">
        <v>1065</v>
      </c>
      <c r="B278" t="s">
        <v>497</v>
      </c>
      <c r="C278" t="s">
        <v>12</v>
      </c>
      <c r="D278" t="s">
        <v>23</v>
      </c>
      <c r="E278" t="s">
        <v>24</v>
      </c>
      <c r="F278" t="s">
        <v>38</v>
      </c>
      <c r="G278" t="s">
        <v>1066</v>
      </c>
      <c r="H278" t="s">
        <v>1067</v>
      </c>
      <c r="I278" t="s">
        <v>49</v>
      </c>
      <c r="J278" t="s">
        <v>41</v>
      </c>
    </row>
    <row r="279" spans="1:10" x14ac:dyDescent="0.35">
      <c r="A279" t="s">
        <v>1068</v>
      </c>
      <c r="B279" t="s">
        <v>426</v>
      </c>
      <c r="C279" t="s">
        <v>67</v>
      </c>
      <c r="D279" t="s">
        <v>13</v>
      </c>
      <c r="E279" t="s">
        <v>24</v>
      </c>
      <c r="F279" t="s">
        <v>79</v>
      </c>
      <c r="G279" t="s">
        <v>1069</v>
      </c>
      <c r="H279" t="s">
        <v>1070</v>
      </c>
      <c r="I279" t="s">
        <v>32</v>
      </c>
      <c r="J279" t="s">
        <v>19</v>
      </c>
    </row>
    <row r="280" spans="1:10" x14ac:dyDescent="0.35">
      <c r="A280" t="s">
        <v>1071</v>
      </c>
      <c r="B280" t="s">
        <v>1072</v>
      </c>
      <c r="C280" t="s">
        <v>67</v>
      </c>
      <c r="D280" t="s">
        <v>23</v>
      </c>
      <c r="E280" t="s">
        <v>14</v>
      </c>
      <c r="F280" t="s">
        <v>46</v>
      </c>
      <c r="G280" t="s">
        <v>1073</v>
      </c>
      <c r="H280" t="s">
        <v>1074</v>
      </c>
      <c r="I280" t="s">
        <v>49</v>
      </c>
      <c r="J280" t="s">
        <v>64</v>
      </c>
    </row>
    <row r="281" spans="1:10" x14ac:dyDescent="0.35">
      <c r="A281" t="s">
        <v>1075</v>
      </c>
      <c r="B281" t="s">
        <v>469</v>
      </c>
      <c r="C281" t="s">
        <v>12</v>
      </c>
      <c r="D281" t="s">
        <v>44</v>
      </c>
      <c r="E281" t="s">
        <v>14</v>
      </c>
      <c r="F281" t="s">
        <v>79</v>
      </c>
      <c r="G281" t="s">
        <v>1076</v>
      </c>
      <c r="H281" t="s">
        <v>1077</v>
      </c>
      <c r="I281" t="s">
        <v>32</v>
      </c>
      <c r="J281" t="s">
        <v>64</v>
      </c>
    </row>
    <row r="282" spans="1:10" x14ac:dyDescent="0.35">
      <c r="A282" t="s">
        <v>1078</v>
      </c>
      <c r="B282" t="s">
        <v>1079</v>
      </c>
      <c r="C282" t="s">
        <v>67</v>
      </c>
      <c r="D282" t="s">
        <v>23</v>
      </c>
      <c r="E282" t="s">
        <v>24</v>
      </c>
      <c r="F282" t="s">
        <v>38</v>
      </c>
      <c r="G282" t="s">
        <v>1080</v>
      </c>
      <c r="H282" t="s">
        <v>1081</v>
      </c>
      <c r="I282" t="s">
        <v>49</v>
      </c>
      <c r="J282" t="s">
        <v>41</v>
      </c>
    </row>
    <row r="283" spans="1:10" x14ac:dyDescent="0.35">
      <c r="A283" t="s">
        <v>1082</v>
      </c>
      <c r="B283" t="s">
        <v>493</v>
      </c>
      <c r="C283" t="s">
        <v>52</v>
      </c>
      <c r="D283" t="s">
        <v>44</v>
      </c>
      <c r="E283" t="s">
        <v>109</v>
      </c>
      <c r="F283" t="s">
        <v>46</v>
      </c>
      <c r="G283" t="s">
        <v>1083</v>
      </c>
      <c r="H283" t="s">
        <v>1084</v>
      </c>
      <c r="I283" t="s">
        <v>18</v>
      </c>
      <c r="J283" t="s">
        <v>33</v>
      </c>
    </row>
    <row r="284" spans="1:10" x14ac:dyDescent="0.35">
      <c r="A284" t="s">
        <v>1085</v>
      </c>
      <c r="B284" t="s">
        <v>827</v>
      </c>
      <c r="C284" t="s">
        <v>12</v>
      </c>
      <c r="D284" t="s">
        <v>36</v>
      </c>
      <c r="E284" t="s">
        <v>14</v>
      </c>
      <c r="F284" t="s">
        <v>79</v>
      </c>
      <c r="G284" t="s">
        <v>1086</v>
      </c>
      <c r="H284" t="s">
        <v>1087</v>
      </c>
      <c r="I284" t="s">
        <v>32</v>
      </c>
      <c r="J284" t="s">
        <v>33</v>
      </c>
    </row>
    <row r="285" spans="1:10" x14ac:dyDescent="0.35">
      <c r="A285" t="s">
        <v>1088</v>
      </c>
      <c r="B285" t="s">
        <v>644</v>
      </c>
      <c r="C285" t="s">
        <v>22</v>
      </c>
      <c r="D285" t="s">
        <v>36</v>
      </c>
      <c r="E285" t="s">
        <v>45</v>
      </c>
      <c r="F285" t="s">
        <v>79</v>
      </c>
      <c r="G285" t="s">
        <v>1089</v>
      </c>
      <c r="H285" t="s">
        <v>1090</v>
      </c>
      <c r="I285" t="s">
        <v>18</v>
      </c>
      <c r="J285" t="s">
        <v>19</v>
      </c>
    </row>
    <row r="286" spans="1:10" x14ac:dyDescent="0.35">
      <c r="A286" t="s">
        <v>1091</v>
      </c>
      <c r="B286" t="s">
        <v>1092</v>
      </c>
      <c r="C286" t="s">
        <v>108</v>
      </c>
      <c r="D286" t="s">
        <v>73</v>
      </c>
      <c r="E286" t="s">
        <v>37</v>
      </c>
      <c r="F286" t="s">
        <v>38</v>
      </c>
      <c r="G286" t="s">
        <v>1093</v>
      </c>
      <c r="H286" t="s">
        <v>1094</v>
      </c>
      <c r="I286" t="s">
        <v>49</v>
      </c>
      <c r="J286" t="s">
        <v>41</v>
      </c>
    </row>
    <row r="287" spans="1:10" x14ac:dyDescent="0.35">
      <c r="A287" t="s">
        <v>1095</v>
      </c>
      <c r="B287" t="s">
        <v>759</v>
      </c>
      <c r="C287" t="s">
        <v>99</v>
      </c>
      <c r="D287" t="s">
        <v>36</v>
      </c>
      <c r="E287" t="s">
        <v>134</v>
      </c>
      <c r="F287" t="s">
        <v>15</v>
      </c>
      <c r="G287" t="s">
        <v>1096</v>
      </c>
      <c r="H287" t="s">
        <v>1097</v>
      </c>
      <c r="I287" t="s">
        <v>32</v>
      </c>
      <c r="J287" t="s">
        <v>64</v>
      </c>
    </row>
    <row r="288" spans="1:10" x14ac:dyDescent="0.35">
      <c r="A288" t="s">
        <v>1098</v>
      </c>
      <c r="B288" t="s">
        <v>1099</v>
      </c>
      <c r="C288" t="s">
        <v>108</v>
      </c>
      <c r="D288" t="s">
        <v>53</v>
      </c>
      <c r="E288" t="s">
        <v>109</v>
      </c>
      <c r="F288" t="s">
        <v>79</v>
      </c>
      <c r="G288" t="s">
        <v>1100</v>
      </c>
      <c r="H288" t="s">
        <v>1101</v>
      </c>
      <c r="I288" t="s">
        <v>32</v>
      </c>
      <c r="J288" t="s">
        <v>19</v>
      </c>
    </row>
    <row r="289" spans="1:10" x14ac:dyDescent="0.35">
      <c r="A289" t="s">
        <v>1102</v>
      </c>
      <c r="B289" t="s">
        <v>1103</v>
      </c>
      <c r="C289" t="s">
        <v>99</v>
      </c>
      <c r="D289" t="s">
        <v>23</v>
      </c>
      <c r="E289" t="s">
        <v>45</v>
      </c>
      <c r="F289" t="s">
        <v>25</v>
      </c>
      <c r="G289" t="s">
        <v>1104</v>
      </c>
      <c r="H289" t="s">
        <v>1105</v>
      </c>
      <c r="I289" t="s">
        <v>18</v>
      </c>
      <c r="J289" t="s">
        <v>33</v>
      </c>
    </row>
    <row r="290" spans="1:10" x14ac:dyDescent="0.35">
      <c r="A290" t="s">
        <v>1106</v>
      </c>
      <c r="B290" t="s">
        <v>347</v>
      </c>
      <c r="C290" t="s">
        <v>108</v>
      </c>
      <c r="D290" t="s">
        <v>36</v>
      </c>
      <c r="E290" t="s">
        <v>134</v>
      </c>
      <c r="F290" t="s">
        <v>74</v>
      </c>
      <c r="G290" t="s">
        <v>1107</v>
      </c>
      <c r="H290" t="s">
        <v>1108</v>
      </c>
      <c r="I290" t="s">
        <v>32</v>
      </c>
      <c r="J290" t="s">
        <v>33</v>
      </c>
    </row>
    <row r="291" spans="1:10" x14ac:dyDescent="0.35">
      <c r="A291" t="s">
        <v>1109</v>
      </c>
      <c r="B291" t="s">
        <v>1110</v>
      </c>
      <c r="C291" t="s">
        <v>99</v>
      </c>
      <c r="D291" t="s">
        <v>73</v>
      </c>
      <c r="E291" t="s">
        <v>45</v>
      </c>
      <c r="F291" t="s">
        <v>46</v>
      </c>
      <c r="G291" t="s">
        <v>1111</v>
      </c>
      <c r="H291" t="s">
        <v>1112</v>
      </c>
      <c r="I291" t="s">
        <v>18</v>
      </c>
      <c r="J291" t="s">
        <v>41</v>
      </c>
    </row>
    <row r="292" spans="1:10" x14ac:dyDescent="0.35">
      <c r="A292" t="s">
        <v>1113</v>
      </c>
      <c r="B292" t="s">
        <v>508</v>
      </c>
      <c r="C292" t="s">
        <v>52</v>
      </c>
      <c r="D292" t="s">
        <v>44</v>
      </c>
      <c r="E292" t="s">
        <v>24</v>
      </c>
      <c r="F292" t="s">
        <v>46</v>
      </c>
      <c r="G292" t="s">
        <v>1114</v>
      </c>
      <c r="H292" t="s">
        <v>1115</v>
      </c>
      <c r="I292" t="s">
        <v>32</v>
      </c>
      <c r="J292" t="s">
        <v>33</v>
      </c>
    </row>
    <row r="293" spans="1:10" x14ac:dyDescent="0.35">
      <c r="A293" t="s">
        <v>1116</v>
      </c>
      <c r="B293" t="s">
        <v>182</v>
      </c>
      <c r="C293" t="s">
        <v>67</v>
      </c>
      <c r="D293" t="s">
        <v>23</v>
      </c>
      <c r="E293" t="s">
        <v>37</v>
      </c>
      <c r="F293" t="s">
        <v>25</v>
      </c>
      <c r="G293" t="s">
        <v>1117</v>
      </c>
      <c r="H293" t="s">
        <v>1118</v>
      </c>
      <c r="I293" t="s">
        <v>18</v>
      </c>
      <c r="J293" t="s">
        <v>33</v>
      </c>
    </row>
    <row r="294" spans="1:10" x14ac:dyDescent="0.35">
      <c r="A294" t="s">
        <v>1119</v>
      </c>
      <c r="B294" t="s">
        <v>508</v>
      </c>
      <c r="C294" t="s">
        <v>108</v>
      </c>
      <c r="D294" t="s">
        <v>53</v>
      </c>
      <c r="E294" t="s">
        <v>109</v>
      </c>
      <c r="F294" t="s">
        <v>15</v>
      </c>
      <c r="G294" t="s">
        <v>1120</v>
      </c>
      <c r="H294" t="s">
        <v>1121</v>
      </c>
      <c r="I294" t="s">
        <v>49</v>
      </c>
      <c r="J294" t="s">
        <v>41</v>
      </c>
    </row>
    <row r="295" spans="1:10" x14ac:dyDescent="0.35">
      <c r="A295" t="s">
        <v>1122</v>
      </c>
      <c r="B295" t="s">
        <v>908</v>
      </c>
      <c r="C295" t="s">
        <v>12</v>
      </c>
      <c r="D295" t="s">
        <v>44</v>
      </c>
      <c r="E295" t="s">
        <v>37</v>
      </c>
      <c r="F295" t="s">
        <v>46</v>
      </c>
      <c r="G295" t="s">
        <v>1123</v>
      </c>
      <c r="H295" t="s">
        <v>1124</v>
      </c>
      <c r="I295" t="s">
        <v>32</v>
      </c>
      <c r="J295" t="s">
        <v>41</v>
      </c>
    </row>
    <row r="296" spans="1:10" x14ac:dyDescent="0.35">
      <c r="A296" t="s">
        <v>1125</v>
      </c>
      <c r="B296" t="s">
        <v>1126</v>
      </c>
      <c r="C296" t="s">
        <v>72</v>
      </c>
      <c r="D296" t="s">
        <v>53</v>
      </c>
      <c r="E296" t="s">
        <v>45</v>
      </c>
      <c r="F296" t="s">
        <v>38</v>
      </c>
      <c r="G296" t="s">
        <v>1127</v>
      </c>
      <c r="H296" t="s">
        <v>1128</v>
      </c>
      <c r="I296" t="s">
        <v>18</v>
      </c>
      <c r="J296" t="s">
        <v>19</v>
      </c>
    </row>
    <row r="297" spans="1:10" x14ac:dyDescent="0.35">
      <c r="A297" t="s">
        <v>1129</v>
      </c>
      <c r="B297" t="s">
        <v>1130</v>
      </c>
      <c r="C297" t="s">
        <v>72</v>
      </c>
      <c r="D297" t="s">
        <v>53</v>
      </c>
      <c r="E297" t="s">
        <v>45</v>
      </c>
      <c r="F297" t="s">
        <v>15</v>
      </c>
      <c r="G297" t="s">
        <v>1131</v>
      </c>
      <c r="H297" t="s">
        <v>1132</v>
      </c>
      <c r="I297" t="s">
        <v>18</v>
      </c>
      <c r="J297" t="s">
        <v>64</v>
      </c>
    </row>
    <row r="298" spans="1:10" x14ac:dyDescent="0.35">
      <c r="A298" t="s">
        <v>1133</v>
      </c>
      <c r="B298" t="s">
        <v>1134</v>
      </c>
      <c r="C298" t="s">
        <v>12</v>
      </c>
      <c r="D298" t="s">
        <v>36</v>
      </c>
      <c r="E298" t="s">
        <v>14</v>
      </c>
      <c r="F298" t="s">
        <v>15</v>
      </c>
      <c r="G298" t="s">
        <v>1135</v>
      </c>
      <c r="H298" t="s">
        <v>1136</v>
      </c>
      <c r="I298" t="s">
        <v>18</v>
      </c>
      <c r="J298" t="s">
        <v>19</v>
      </c>
    </row>
    <row r="299" spans="1:10" x14ac:dyDescent="0.35">
      <c r="A299" t="s">
        <v>1137</v>
      </c>
      <c r="B299" t="s">
        <v>636</v>
      </c>
      <c r="C299" t="s">
        <v>22</v>
      </c>
      <c r="D299" t="s">
        <v>23</v>
      </c>
      <c r="E299" t="s">
        <v>24</v>
      </c>
      <c r="F299" t="s">
        <v>38</v>
      </c>
      <c r="G299" t="s">
        <v>1138</v>
      </c>
      <c r="H299" t="s">
        <v>1139</v>
      </c>
      <c r="I299" t="s">
        <v>49</v>
      </c>
      <c r="J299" t="s">
        <v>41</v>
      </c>
    </row>
    <row r="300" spans="1:10" x14ac:dyDescent="0.35">
      <c r="A300" t="s">
        <v>1140</v>
      </c>
      <c r="B300" t="s">
        <v>1141</v>
      </c>
      <c r="C300" t="s">
        <v>22</v>
      </c>
      <c r="D300" t="s">
        <v>44</v>
      </c>
      <c r="E300" t="s">
        <v>134</v>
      </c>
      <c r="F300" t="s">
        <v>38</v>
      </c>
      <c r="G300" t="s">
        <v>1142</v>
      </c>
      <c r="H300" t="s">
        <v>1143</v>
      </c>
      <c r="I300" t="s">
        <v>18</v>
      </c>
      <c r="J300" t="s">
        <v>41</v>
      </c>
    </row>
    <row r="301" spans="1:10" x14ac:dyDescent="0.35">
      <c r="A301" t="s">
        <v>1144</v>
      </c>
      <c r="B301" t="s">
        <v>1145</v>
      </c>
      <c r="C301" t="s">
        <v>99</v>
      </c>
      <c r="D301" t="s">
        <v>53</v>
      </c>
      <c r="E301" t="s">
        <v>37</v>
      </c>
      <c r="F301" t="s">
        <v>74</v>
      </c>
      <c r="G301" t="s">
        <v>1146</v>
      </c>
      <c r="H301" t="s">
        <v>1147</v>
      </c>
      <c r="I301" t="s">
        <v>32</v>
      </c>
      <c r="J301" t="s">
        <v>41</v>
      </c>
    </row>
    <row r="302" spans="1:10" x14ac:dyDescent="0.35">
      <c r="A302" t="s">
        <v>1148</v>
      </c>
      <c r="B302" t="s">
        <v>706</v>
      </c>
      <c r="C302" t="s">
        <v>12</v>
      </c>
      <c r="D302" t="s">
        <v>36</v>
      </c>
      <c r="E302" t="s">
        <v>14</v>
      </c>
      <c r="F302" t="s">
        <v>46</v>
      </c>
      <c r="G302" t="s">
        <v>1149</v>
      </c>
      <c r="H302" t="s">
        <v>1150</v>
      </c>
      <c r="I302" t="s">
        <v>18</v>
      </c>
      <c r="J302" t="s">
        <v>64</v>
      </c>
    </row>
    <row r="303" spans="1:10" x14ac:dyDescent="0.35">
      <c r="A303" t="s">
        <v>1151</v>
      </c>
      <c r="B303" t="s">
        <v>1152</v>
      </c>
      <c r="C303" t="s">
        <v>22</v>
      </c>
      <c r="D303" t="s">
        <v>53</v>
      </c>
      <c r="E303" t="s">
        <v>45</v>
      </c>
      <c r="F303" t="s">
        <v>25</v>
      </c>
      <c r="G303" t="s">
        <v>1153</v>
      </c>
      <c r="H303" t="s">
        <v>1154</v>
      </c>
      <c r="I303" t="s">
        <v>18</v>
      </c>
      <c r="J303" t="s">
        <v>19</v>
      </c>
    </row>
    <row r="304" spans="1:10" x14ac:dyDescent="0.35">
      <c r="A304" t="s">
        <v>1155</v>
      </c>
      <c r="B304" t="s">
        <v>1156</v>
      </c>
      <c r="C304" t="s">
        <v>12</v>
      </c>
      <c r="D304" t="s">
        <v>73</v>
      </c>
      <c r="E304" t="s">
        <v>14</v>
      </c>
      <c r="F304" t="s">
        <v>79</v>
      </c>
      <c r="G304" t="s">
        <v>1157</v>
      </c>
      <c r="H304" t="s">
        <v>1158</v>
      </c>
      <c r="I304" t="s">
        <v>18</v>
      </c>
      <c r="J304" t="s">
        <v>19</v>
      </c>
    </row>
    <row r="305" spans="1:10" x14ac:dyDescent="0.35">
      <c r="A305" t="s">
        <v>1159</v>
      </c>
      <c r="B305" t="s">
        <v>1160</v>
      </c>
      <c r="C305" t="s">
        <v>108</v>
      </c>
      <c r="D305" t="s">
        <v>73</v>
      </c>
      <c r="E305" t="s">
        <v>109</v>
      </c>
      <c r="F305" t="s">
        <v>38</v>
      </c>
      <c r="G305" t="s">
        <v>1161</v>
      </c>
      <c r="H305" t="s">
        <v>1162</v>
      </c>
      <c r="I305" t="s">
        <v>18</v>
      </c>
      <c r="J305" t="s">
        <v>41</v>
      </c>
    </row>
    <row r="306" spans="1:10" x14ac:dyDescent="0.35">
      <c r="A306" t="s">
        <v>1163</v>
      </c>
      <c r="B306" t="s">
        <v>61</v>
      </c>
      <c r="C306" t="s">
        <v>72</v>
      </c>
      <c r="D306" t="s">
        <v>73</v>
      </c>
      <c r="E306" t="s">
        <v>134</v>
      </c>
      <c r="F306" t="s">
        <v>74</v>
      </c>
      <c r="G306" t="s">
        <v>1164</v>
      </c>
      <c r="H306" t="s">
        <v>1165</v>
      </c>
      <c r="I306" t="s">
        <v>18</v>
      </c>
      <c r="J306" t="s">
        <v>41</v>
      </c>
    </row>
    <row r="307" spans="1:10" x14ac:dyDescent="0.35">
      <c r="A307" t="s">
        <v>1166</v>
      </c>
      <c r="B307" t="s">
        <v>90</v>
      </c>
      <c r="C307" t="s">
        <v>52</v>
      </c>
      <c r="D307" t="s">
        <v>73</v>
      </c>
      <c r="E307" t="s">
        <v>109</v>
      </c>
      <c r="F307" t="s">
        <v>15</v>
      </c>
      <c r="G307" t="s">
        <v>1167</v>
      </c>
      <c r="H307" t="s">
        <v>1168</v>
      </c>
      <c r="I307" t="s">
        <v>49</v>
      </c>
      <c r="J307" t="s">
        <v>41</v>
      </c>
    </row>
    <row r="308" spans="1:10" x14ac:dyDescent="0.35">
      <c r="A308" t="s">
        <v>1169</v>
      </c>
      <c r="B308" t="s">
        <v>1170</v>
      </c>
      <c r="C308" t="s">
        <v>108</v>
      </c>
      <c r="D308" t="s">
        <v>44</v>
      </c>
      <c r="E308" t="s">
        <v>37</v>
      </c>
      <c r="F308" t="s">
        <v>79</v>
      </c>
      <c r="G308" t="s">
        <v>1171</v>
      </c>
      <c r="H308" t="s">
        <v>1172</v>
      </c>
      <c r="I308" t="s">
        <v>32</v>
      </c>
      <c r="J308" t="s">
        <v>64</v>
      </c>
    </row>
    <row r="309" spans="1:10" x14ac:dyDescent="0.35">
      <c r="A309" t="s">
        <v>1173</v>
      </c>
      <c r="B309" t="s">
        <v>1174</v>
      </c>
      <c r="C309" t="s">
        <v>108</v>
      </c>
      <c r="D309" t="s">
        <v>23</v>
      </c>
      <c r="E309" t="s">
        <v>14</v>
      </c>
      <c r="F309" t="s">
        <v>25</v>
      </c>
      <c r="G309" t="s">
        <v>1175</v>
      </c>
      <c r="H309" t="s">
        <v>1176</v>
      </c>
      <c r="I309" t="s">
        <v>32</v>
      </c>
      <c r="J309" t="s">
        <v>19</v>
      </c>
    </row>
    <row r="310" spans="1:10" x14ac:dyDescent="0.35">
      <c r="A310" t="s">
        <v>1177</v>
      </c>
      <c r="B310" t="s">
        <v>265</v>
      </c>
      <c r="C310" t="s">
        <v>108</v>
      </c>
      <c r="D310" t="s">
        <v>73</v>
      </c>
      <c r="E310" t="s">
        <v>134</v>
      </c>
      <c r="F310" t="s">
        <v>46</v>
      </c>
      <c r="G310" t="s">
        <v>1178</v>
      </c>
      <c r="H310" t="s">
        <v>1179</v>
      </c>
      <c r="I310" t="s">
        <v>32</v>
      </c>
      <c r="J310" t="s">
        <v>64</v>
      </c>
    </row>
    <row r="311" spans="1:10" x14ac:dyDescent="0.35">
      <c r="A311" t="s">
        <v>1180</v>
      </c>
      <c r="B311" t="s">
        <v>245</v>
      </c>
      <c r="C311" t="s">
        <v>12</v>
      </c>
      <c r="D311" t="s">
        <v>73</v>
      </c>
      <c r="E311" t="s">
        <v>134</v>
      </c>
      <c r="F311" t="s">
        <v>15</v>
      </c>
      <c r="G311" t="s">
        <v>1181</v>
      </c>
      <c r="H311" t="s">
        <v>1182</v>
      </c>
      <c r="I311" t="s">
        <v>32</v>
      </c>
      <c r="J311" t="s">
        <v>64</v>
      </c>
    </row>
    <row r="312" spans="1:10" x14ac:dyDescent="0.35">
      <c r="A312" t="s">
        <v>1183</v>
      </c>
      <c r="B312" t="s">
        <v>747</v>
      </c>
      <c r="C312" t="s">
        <v>99</v>
      </c>
      <c r="D312" t="s">
        <v>44</v>
      </c>
      <c r="E312" t="s">
        <v>14</v>
      </c>
      <c r="F312" t="s">
        <v>15</v>
      </c>
      <c r="G312" t="s">
        <v>1184</v>
      </c>
      <c r="H312" t="s">
        <v>1185</v>
      </c>
      <c r="I312" t="s">
        <v>32</v>
      </c>
      <c r="J312" t="s">
        <v>33</v>
      </c>
    </row>
    <row r="313" spans="1:10" x14ac:dyDescent="0.35">
      <c r="A313" t="s">
        <v>1186</v>
      </c>
      <c r="B313" t="s">
        <v>617</v>
      </c>
      <c r="C313" t="s">
        <v>67</v>
      </c>
      <c r="D313" t="s">
        <v>36</v>
      </c>
      <c r="E313" t="s">
        <v>37</v>
      </c>
      <c r="F313" t="s">
        <v>25</v>
      </c>
      <c r="G313" t="s">
        <v>1187</v>
      </c>
      <c r="H313" t="s">
        <v>1188</v>
      </c>
      <c r="I313" t="s">
        <v>18</v>
      </c>
      <c r="J313" t="s">
        <v>64</v>
      </c>
    </row>
    <row r="314" spans="1:10" x14ac:dyDescent="0.35">
      <c r="A314" t="s">
        <v>1189</v>
      </c>
      <c r="B314" t="s">
        <v>759</v>
      </c>
      <c r="C314" t="s">
        <v>12</v>
      </c>
      <c r="D314" t="s">
        <v>13</v>
      </c>
      <c r="E314" t="s">
        <v>37</v>
      </c>
      <c r="F314" t="s">
        <v>79</v>
      </c>
      <c r="G314" t="s">
        <v>1190</v>
      </c>
      <c r="H314" t="s">
        <v>1191</v>
      </c>
      <c r="I314" t="s">
        <v>49</v>
      </c>
      <c r="J314" t="s">
        <v>64</v>
      </c>
    </row>
    <row r="315" spans="1:10" x14ac:dyDescent="0.35">
      <c r="A315" t="s">
        <v>1192</v>
      </c>
      <c r="B315" t="s">
        <v>610</v>
      </c>
      <c r="C315" t="s">
        <v>72</v>
      </c>
      <c r="D315" t="s">
        <v>13</v>
      </c>
      <c r="E315" t="s">
        <v>134</v>
      </c>
      <c r="F315" t="s">
        <v>46</v>
      </c>
      <c r="G315" t="s">
        <v>1193</v>
      </c>
      <c r="H315" t="s">
        <v>1194</v>
      </c>
      <c r="I315" t="s">
        <v>32</v>
      </c>
      <c r="J315" t="s">
        <v>33</v>
      </c>
    </row>
    <row r="316" spans="1:10" x14ac:dyDescent="0.35">
      <c r="A316" t="s">
        <v>1195</v>
      </c>
      <c r="B316" t="s">
        <v>1196</v>
      </c>
      <c r="C316" t="s">
        <v>108</v>
      </c>
      <c r="D316" t="s">
        <v>44</v>
      </c>
      <c r="E316" t="s">
        <v>109</v>
      </c>
      <c r="F316" t="s">
        <v>15</v>
      </c>
      <c r="G316" t="s">
        <v>1197</v>
      </c>
      <c r="H316" t="s">
        <v>1198</v>
      </c>
      <c r="I316" t="s">
        <v>32</v>
      </c>
      <c r="J316" t="s">
        <v>33</v>
      </c>
    </row>
    <row r="317" spans="1:10" x14ac:dyDescent="0.35">
      <c r="A317" t="s">
        <v>1199</v>
      </c>
      <c r="B317" t="s">
        <v>154</v>
      </c>
      <c r="C317" t="s">
        <v>12</v>
      </c>
      <c r="D317" t="s">
        <v>23</v>
      </c>
      <c r="E317" t="s">
        <v>109</v>
      </c>
      <c r="F317" t="s">
        <v>79</v>
      </c>
      <c r="G317" t="s">
        <v>1200</v>
      </c>
      <c r="H317" t="s">
        <v>1201</v>
      </c>
      <c r="I317" t="s">
        <v>49</v>
      </c>
      <c r="J317" t="s">
        <v>64</v>
      </c>
    </row>
    <row r="318" spans="1:10" x14ac:dyDescent="0.35">
      <c r="A318" t="s">
        <v>1202</v>
      </c>
      <c r="B318" t="s">
        <v>1203</v>
      </c>
      <c r="C318" t="s">
        <v>108</v>
      </c>
      <c r="D318" t="s">
        <v>73</v>
      </c>
      <c r="E318" t="s">
        <v>134</v>
      </c>
      <c r="F318" t="s">
        <v>38</v>
      </c>
      <c r="G318" t="s">
        <v>1204</v>
      </c>
      <c r="H318" t="s">
        <v>1205</v>
      </c>
      <c r="I318" t="s">
        <v>49</v>
      </c>
      <c r="J318" t="s">
        <v>33</v>
      </c>
    </row>
    <row r="319" spans="1:10" x14ac:dyDescent="0.35">
      <c r="A319" t="s">
        <v>1206</v>
      </c>
      <c r="B319" t="s">
        <v>1207</v>
      </c>
      <c r="C319" t="s">
        <v>12</v>
      </c>
      <c r="D319" t="s">
        <v>53</v>
      </c>
      <c r="E319" t="s">
        <v>14</v>
      </c>
      <c r="F319" t="s">
        <v>25</v>
      </c>
      <c r="G319" t="s">
        <v>1208</v>
      </c>
      <c r="H319" t="s">
        <v>1209</v>
      </c>
      <c r="I319" t="s">
        <v>18</v>
      </c>
      <c r="J319" t="s">
        <v>41</v>
      </c>
    </row>
    <row r="320" spans="1:10" x14ac:dyDescent="0.35">
      <c r="A320" t="s">
        <v>1210</v>
      </c>
      <c r="B320" t="s">
        <v>1019</v>
      </c>
      <c r="C320" t="s">
        <v>12</v>
      </c>
      <c r="D320" t="s">
        <v>73</v>
      </c>
      <c r="E320" t="s">
        <v>134</v>
      </c>
      <c r="F320" t="s">
        <v>74</v>
      </c>
      <c r="G320" t="s">
        <v>1211</v>
      </c>
      <c r="H320" t="s">
        <v>1212</v>
      </c>
      <c r="I320" t="s">
        <v>32</v>
      </c>
      <c r="J320" t="s">
        <v>64</v>
      </c>
    </row>
    <row r="321" spans="1:10" x14ac:dyDescent="0.35">
      <c r="A321" t="s">
        <v>1213</v>
      </c>
      <c r="B321" t="s">
        <v>450</v>
      </c>
      <c r="C321" t="s">
        <v>12</v>
      </c>
      <c r="D321" t="s">
        <v>44</v>
      </c>
      <c r="E321" t="s">
        <v>14</v>
      </c>
      <c r="F321" t="s">
        <v>25</v>
      </c>
      <c r="G321" t="s">
        <v>1214</v>
      </c>
      <c r="H321" t="s">
        <v>1215</v>
      </c>
      <c r="I321" t="s">
        <v>32</v>
      </c>
      <c r="J321" t="s">
        <v>19</v>
      </c>
    </row>
    <row r="322" spans="1:10" x14ac:dyDescent="0.35">
      <c r="A322" t="s">
        <v>1216</v>
      </c>
      <c r="B322" t="s">
        <v>531</v>
      </c>
      <c r="C322" t="s">
        <v>22</v>
      </c>
      <c r="D322" t="s">
        <v>36</v>
      </c>
      <c r="E322" t="s">
        <v>24</v>
      </c>
      <c r="F322" t="s">
        <v>15</v>
      </c>
      <c r="G322" t="s">
        <v>1217</v>
      </c>
      <c r="H322" t="s">
        <v>1218</v>
      </c>
      <c r="I322" t="s">
        <v>18</v>
      </c>
      <c r="J322" t="s">
        <v>19</v>
      </c>
    </row>
    <row r="323" spans="1:10" x14ac:dyDescent="0.35">
      <c r="A323" t="s">
        <v>1219</v>
      </c>
      <c r="B323" t="s">
        <v>729</v>
      </c>
      <c r="C323" t="s">
        <v>108</v>
      </c>
      <c r="D323" t="s">
        <v>73</v>
      </c>
      <c r="E323" t="s">
        <v>37</v>
      </c>
      <c r="F323" t="s">
        <v>38</v>
      </c>
      <c r="G323" t="s">
        <v>1220</v>
      </c>
      <c r="H323" t="s">
        <v>1221</v>
      </c>
      <c r="I323" t="s">
        <v>32</v>
      </c>
      <c r="J323" t="s">
        <v>33</v>
      </c>
    </row>
    <row r="324" spans="1:10" x14ac:dyDescent="0.35">
      <c r="A324" t="s">
        <v>1222</v>
      </c>
      <c r="B324" t="s">
        <v>1015</v>
      </c>
      <c r="C324" t="s">
        <v>99</v>
      </c>
      <c r="D324" t="s">
        <v>44</v>
      </c>
      <c r="E324" t="s">
        <v>109</v>
      </c>
      <c r="F324" t="s">
        <v>15</v>
      </c>
      <c r="G324" t="s">
        <v>1223</v>
      </c>
      <c r="H324" t="s">
        <v>1224</v>
      </c>
      <c r="I324" t="s">
        <v>18</v>
      </c>
      <c r="J324" t="s">
        <v>33</v>
      </c>
    </row>
    <row r="325" spans="1:10" x14ac:dyDescent="0.35">
      <c r="A325" t="s">
        <v>1225</v>
      </c>
      <c r="B325" t="s">
        <v>328</v>
      </c>
      <c r="C325" t="s">
        <v>99</v>
      </c>
      <c r="D325" t="s">
        <v>13</v>
      </c>
      <c r="E325" t="s">
        <v>134</v>
      </c>
      <c r="F325" t="s">
        <v>46</v>
      </c>
      <c r="G325" t="s">
        <v>1226</v>
      </c>
      <c r="H325" t="s">
        <v>1227</v>
      </c>
      <c r="I325" t="s">
        <v>49</v>
      </c>
      <c r="J325" t="s">
        <v>33</v>
      </c>
    </row>
    <row r="326" spans="1:10" x14ac:dyDescent="0.35">
      <c r="A326" t="s">
        <v>1228</v>
      </c>
      <c r="B326" t="s">
        <v>1229</v>
      </c>
      <c r="C326" t="s">
        <v>52</v>
      </c>
      <c r="D326" t="s">
        <v>73</v>
      </c>
      <c r="E326" t="s">
        <v>14</v>
      </c>
      <c r="F326" t="s">
        <v>25</v>
      </c>
      <c r="G326" t="s">
        <v>1230</v>
      </c>
      <c r="H326" t="s">
        <v>1231</v>
      </c>
      <c r="I326" t="s">
        <v>49</v>
      </c>
      <c r="J326" t="s">
        <v>33</v>
      </c>
    </row>
    <row r="327" spans="1:10" x14ac:dyDescent="0.35">
      <c r="A327" t="s">
        <v>1232</v>
      </c>
      <c r="B327" t="s">
        <v>142</v>
      </c>
      <c r="C327" t="s">
        <v>72</v>
      </c>
      <c r="D327" t="s">
        <v>53</v>
      </c>
      <c r="E327" t="s">
        <v>109</v>
      </c>
      <c r="F327" t="s">
        <v>38</v>
      </c>
      <c r="G327" t="s">
        <v>1233</v>
      </c>
      <c r="H327" t="s">
        <v>1234</v>
      </c>
      <c r="I327" t="s">
        <v>49</v>
      </c>
      <c r="J327" t="s">
        <v>64</v>
      </c>
    </row>
    <row r="328" spans="1:10" x14ac:dyDescent="0.35">
      <c r="A328" t="s">
        <v>1235</v>
      </c>
      <c r="B328" t="s">
        <v>797</v>
      </c>
      <c r="C328" t="s">
        <v>22</v>
      </c>
      <c r="D328" t="s">
        <v>73</v>
      </c>
      <c r="E328" t="s">
        <v>45</v>
      </c>
      <c r="F328" t="s">
        <v>25</v>
      </c>
      <c r="G328" t="s">
        <v>1236</v>
      </c>
      <c r="H328" t="s">
        <v>1237</v>
      </c>
      <c r="I328" t="s">
        <v>32</v>
      </c>
      <c r="J328" t="s">
        <v>19</v>
      </c>
    </row>
    <row r="329" spans="1:10" x14ac:dyDescent="0.35">
      <c r="A329" t="s">
        <v>1238</v>
      </c>
      <c r="B329" t="s">
        <v>129</v>
      </c>
      <c r="C329" t="s">
        <v>67</v>
      </c>
      <c r="D329" t="s">
        <v>36</v>
      </c>
      <c r="E329" t="s">
        <v>14</v>
      </c>
      <c r="F329" t="s">
        <v>46</v>
      </c>
      <c r="G329" t="s">
        <v>1239</v>
      </c>
      <c r="H329" t="s">
        <v>1240</v>
      </c>
      <c r="I329" t="s">
        <v>49</v>
      </c>
      <c r="J329" t="s">
        <v>19</v>
      </c>
    </row>
    <row r="330" spans="1:10" x14ac:dyDescent="0.35">
      <c r="A330" t="s">
        <v>1241</v>
      </c>
      <c r="B330" t="s">
        <v>817</v>
      </c>
      <c r="C330" t="s">
        <v>72</v>
      </c>
      <c r="D330" t="s">
        <v>73</v>
      </c>
      <c r="E330" t="s">
        <v>14</v>
      </c>
      <c r="F330" t="s">
        <v>25</v>
      </c>
      <c r="G330" t="s">
        <v>1242</v>
      </c>
      <c r="H330" t="s">
        <v>1243</v>
      </c>
      <c r="I330" t="s">
        <v>49</v>
      </c>
      <c r="J330" t="s">
        <v>33</v>
      </c>
    </row>
    <row r="331" spans="1:10" x14ac:dyDescent="0.35">
      <c r="A331" t="s">
        <v>1244</v>
      </c>
      <c r="B331" t="s">
        <v>317</v>
      </c>
      <c r="C331" t="s">
        <v>99</v>
      </c>
      <c r="D331" t="s">
        <v>13</v>
      </c>
      <c r="E331" t="s">
        <v>14</v>
      </c>
      <c r="F331" t="s">
        <v>25</v>
      </c>
      <c r="G331" t="s">
        <v>1245</v>
      </c>
      <c r="H331" t="s">
        <v>1246</v>
      </c>
      <c r="I331" t="s">
        <v>49</v>
      </c>
      <c r="J331" t="s">
        <v>33</v>
      </c>
    </row>
    <row r="332" spans="1:10" x14ac:dyDescent="0.35">
      <c r="A332" t="s">
        <v>1247</v>
      </c>
      <c r="B332" t="s">
        <v>1248</v>
      </c>
      <c r="C332" t="s">
        <v>67</v>
      </c>
      <c r="D332" t="s">
        <v>44</v>
      </c>
      <c r="E332" t="s">
        <v>45</v>
      </c>
      <c r="F332" t="s">
        <v>25</v>
      </c>
      <c r="G332" t="s">
        <v>1249</v>
      </c>
      <c r="H332" t="s">
        <v>1250</v>
      </c>
      <c r="I332" t="s">
        <v>18</v>
      </c>
      <c r="J332" t="s">
        <v>33</v>
      </c>
    </row>
    <row r="333" spans="1:10" x14ac:dyDescent="0.35">
      <c r="A333" t="s">
        <v>1251</v>
      </c>
      <c r="B333" t="s">
        <v>702</v>
      </c>
      <c r="C333" t="s">
        <v>67</v>
      </c>
      <c r="D333" t="s">
        <v>53</v>
      </c>
      <c r="E333" t="s">
        <v>14</v>
      </c>
      <c r="F333" t="s">
        <v>15</v>
      </c>
      <c r="G333" t="s">
        <v>1252</v>
      </c>
      <c r="H333" t="s">
        <v>1253</v>
      </c>
      <c r="I333" t="s">
        <v>32</v>
      </c>
      <c r="J333" t="s">
        <v>33</v>
      </c>
    </row>
    <row r="334" spans="1:10" x14ac:dyDescent="0.35">
      <c r="A334" t="s">
        <v>1254</v>
      </c>
      <c r="B334" t="s">
        <v>1255</v>
      </c>
      <c r="C334" t="s">
        <v>67</v>
      </c>
      <c r="D334" t="s">
        <v>23</v>
      </c>
      <c r="E334" t="s">
        <v>134</v>
      </c>
      <c r="F334" t="s">
        <v>38</v>
      </c>
      <c r="G334" t="s">
        <v>1256</v>
      </c>
      <c r="H334" t="s">
        <v>1257</v>
      </c>
      <c r="I334" t="s">
        <v>49</v>
      </c>
      <c r="J334" t="s">
        <v>33</v>
      </c>
    </row>
    <row r="335" spans="1:10" x14ac:dyDescent="0.35">
      <c r="A335" t="s">
        <v>1258</v>
      </c>
      <c r="B335" t="s">
        <v>923</v>
      </c>
      <c r="C335" t="s">
        <v>108</v>
      </c>
      <c r="D335" t="s">
        <v>23</v>
      </c>
      <c r="E335" t="s">
        <v>109</v>
      </c>
      <c r="F335" t="s">
        <v>38</v>
      </c>
      <c r="G335" t="s">
        <v>1259</v>
      </c>
      <c r="H335" t="s">
        <v>1260</v>
      </c>
      <c r="I335" t="s">
        <v>32</v>
      </c>
      <c r="J335" t="s">
        <v>41</v>
      </c>
    </row>
    <row r="336" spans="1:10" x14ac:dyDescent="0.35">
      <c r="A336" t="s">
        <v>1261</v>
      </c>
      <c r="B336" t="s">
        <v>725</v>
      </c>
      <c r="C336" t="s">
        <v>52</v>
      </c>
      <c r="D336" t="s">
        <v>13</v>
      </c>
      <c r="E336" t="s">
        <v>37</v>
      </c>
      <c r="F336" t="s">
        <v>38</v>
      </c>
      <c r="G336" t="s">
        <v>1262</v>
      </c>
      <c r="H336" t="s">
        <v>1263</v>
      </c>
      <c r="I336" t="s">
        <v>32</v>
      </c>
      <c r="J336" t="s">
        <v>19</v>
      </c>
    </row>
    <row r="337" spans="1:10" x14ac:dyDescent="0.35">
      <c r="A337" t="s">
        <v>1264</v>
      </c>
      <c r="B337" t="s">
        <v>1265</v>
      </c>
      <c r="C337" t="s">
        <v>12</v>
      </c>
      <c r="D337" t="s">
        <v>53</v>
      </c>
      <c r="E337" t="s">
        <v>14</v>
      </c>
      <c r="F337" t="s">
        <v>74</v>
      </c>
      <c r="G337" t="s">
        <v>1266</v>
      </c>
      <c r="H337" t="s">
        <v>1267</v>
      </c>
      <c r="I337" t="s">
        <v>32</v>
      </c>
      <c r="J337" t="s">
        <v>19</v>
      </c>
    </row>
    <row r="338" spans="1:10" x14ac:dyDescent="0.35">
      <c r="A338" t="s">
        <v>1268</v>
      </c>
      <c r="B338" t="s">
        <v>1269</v>
      </c>
      <c r="C338" t="s">
        <v>22</v>
      </c>
      <c r="D338" t="s">
        <v>23</v>
      </c>
      <c r="E338" t="s">
        <v>109</v>
      </c>
      <c r="F338" t="s">
        <v>46</v>
      </c>
      <c r="G338" t="s">
        <v>1270</v>
      </c>
      <c r="H338" t="s">
        <v>1271</v>
      </c>
      <c r="I338" t="s">
        <v>32</v>
      </c>
      <c r="J338" t="s">
        <v>64</v>
      </c>
    </row>
    <row r="339" spans="1:10" x14ac:dyDescent="0.35">
      <c r="A339" t="s">
        <v>1272</v>
      </c>
      <c r="B339" t="s">
        <v>249</v>
      </c>
      <c r="C339" t="s">
        <v>52</v>
      </c>
      <c r="D339" t="s">
        <v>53</v>
      </c>
      <c r="E339" t="s">
        <v>14</v>
      </c>
      <c r="F339" t="s">
        <v>38</v>
      </c>
      <c r="G339" t="s">
        <v>1273</v>
      </c>
      <c r="H339" t="s">
        <v>1274</v>
      </c>
      <c r="I339" t="s">
        <v>49</v>
      </c>
      <c r="J339" t="s">
        <v>33</v>
      </c>
    </row>
    <row r="340" spans="1:10" x14ac:dyDescent="0.35">
      <c r="A340" t="s">
        <v>1275</v>
      </c>
      <c r="B340" t="s">
        <v>594</v>
      </c>
      <c r="C340" t="s">
        <v>52</v>
      </c>
      <c r="D340" t="s">
        <v>23</v>
      </c>
      <c r="E340" t="s">
        <v>37</v>
      </c>
      <c r="F340" t="s">
        <v>15</v>
      </c>
      <c r="G340" t="s">
        <v>1276</v>
      </c>
      <c r="H340" t="s">
        <v>1277</v>
      </c>
      <c r="I340" t="s">
        <v>49</v>
      </c>
      <c r="J340" t="s">
        <v>64</v>
      </c>
    </row>
    <row r="341" spans="1:10" x14ac:dyDescent="0.35">
      <c r="A341" t="s">
        <v>1278</v>
      </c>
      <c r="B341" t="s">
        <v>1279</v>
      </c>
      <c r="C341" t="s">
        <v>108</v>
      </c>
      <c r="D341" t="s">
        <v>23</v>
      </c>
      <c r="E341" t="s">
        <v>37</v>
      </c>
      <c r="F341" t="s">
        <v>74</v>
      </c>
      <c r="G341" t="s">
        <v>1280</v>
      </c>
      <c r="H341" t="s">
        <v>1281</v>
      </c>
      <c r="I341" t="s">
        <v>32</v>
      </c>
      <c r="J341" t="s">
        <v>33</v>
      </c>
    </row>
    <row r="342" spans="1:10" x14ac:dyDescent="0.35">
      <c r="A342" t="s">
        <v>1282</v>
      </c>
      <c r="B342" t="s">
        <v>759</v>
      </c>
      <c r="C342" t="s">
        <v>67</v>
      </c>
      <c r="D342" t="s">
        <v>44</v>
      </c>
      <c r="E342" t="s">
        <v>14</v>
      </c>
      <c r="F342" t="s">
        <v>15</v>
      </c>
      <c r="G342" t="s">
        <v>1283</v>
      </c>
      <c r="H342" t="s">
        <v>1284</v>
      </c>
      <c r="I342" t="s">
        <v>18</v>
      </c>
      <c r="J342" t="s">
        <v>19</v>
      </c>
    </row>
    <row r="343" spans="1:10" x14ac:dyDescent="0.35">
      <c r="A343" t="s">
        <v>1285</v>
      </c>
      <c r="B343" t="s">
        <v>205</v>
      </c>
      <c r="C343" t="s">
        <v>52</v>
      </c>
      <c r="D343" t="s">
        <v>13</v>
      </c>
      <c r="E343" t="s">
        <v>134</v>
      </c>
      <c r="F343" t="s">
        <v>79</v>
      </c>
      <c r="G343" t="s">
        <v>1286</v>
      </c>
      <c r="H343" t="s">
        <v>1287</v>
      </c>
      <c r="I343" t="s">
        <v>18</v>
      </c>
      <c r="J343" t="s">
        <v>64</v>
      </c>
    </row>
    <row r="344" spans="1:10" x14ac:dyDescent="0.35">
      <c r="A344" t="s">
        <v>1288</v>
      </c>
      <c r="B344" t="s">
        <v>1011</v>
      </c>
      <c r="C344" t="s">
        <v>67</v>
      </c>
      <c r="D344" t="s">
        <v>13</v>
      </c>
      <c r="E344" t="s">
        <v>37</v>
      </c>
      <c r="F344" t="s">
        <v>15</v>
      </c>
      <c r="G344" t="s">
        <v>1289</v>
      </c>
      <c r="H344" t="s">
        <v>1290</v>
      </c>
      <c r="I344" t="s">
        <v>18</v>
      </c>
      <c r="J344" t="s">
        <v>41</v>
      </c>
    </row>
    <row r="345" spans="1:10" x14ac:dyDescent="0.35">
      <c r="A345" t="s">
        <v>1291</v>
      </c>
      <c r="B345" t="s">
        <v>1292</v>
      </c>
      <c r="C345" t="s">
        <v>72</v>
      </c>
      <c r="D345" t="s">
        <v>44</v>
      </c>
      <c r="E345" t="s">
        <v>24</v>
      </c>
      <c r="F345" t="s">
        <v>15</v>
      </c>
      <c r="G345" t="s">
        <v>1293</v>
      </c>
      <c r="H345" t="s">
        <v>1294</v>
      </c>
      <c r="I345" t="s">
        <v>32</v>
      </c>
      <c r="J345" t="s">
        <v>41</v>
      </c>
    </row>
    <row r="346" spans="1:10" x14ac:dyDescent="0.35">
      <c r="A346" t="s">
        <v>1295</v>
      </c>
      <c r="B346" t="s">
        <v>1296</v>
      </c>
      <c r="C346" t="s">
        <v>12</v>
      </c>
      <c r="D346" t="s">
        <v>44</v>
      </c>
      <c r="E346" t="s">
        <v>14</v>
      </c>
      <c r="F346" t="s">
        <v>25</v>
      </c>
      <c r="G346" t="s">
        <v>1297</v>
      </c>
      <c r="H346" t="s">
        <v>1298</v>
      </c>
      <c r="I346" t="s">
        <v>49</v>
      </c>
      <c r="J346" t="s">
        <v>64</v>
      </c>
    </row>
    <row r="347" spans="1:10" x14ac:dyDescent="0.35">
      <c r="A347" t="s">
        <v>1299</v>
      </c>
      <c r="B347" t="s">
        <v>1300</v>
      </c>
      <c r="C347" t="s">
        <v>67</v>
      </c>
      <c r="D347" t="s">
        <v>53</v>
      </c>
      <c r="E347" t="s">
        <v>109</v>
      </c>
      <c r="F347" t="s">
        <v>74</v>
      </c>
      <c r="G347" t="s">
        <v>1301</v>
      </c>
      <c r="H347" t="s">
        <v>1302</v>
      </c>
      <c r="I347" t="s">
        <v>18</v>
      </c>
      <c r="J347" t="s">
        <v>41</v>
      </c>
    </row>
    <row r="348" spans="1:10" x14ac:dyDescent="0.35">
      <c r="A348" t="s">
        <v>1303</v>
      </c>
      <c r="B348" t="s">
        <v>1207</v>
      </c>
      <c r="C348" t="s">
        <v>108</v>
      </c>
      <c r="D348" t="s">
        <v>73</v>
      </c>
      <c r="E348" t="s">
        <v>14</v>
      </c>
      <c r="F348" t="s">
        <v>38</v>
      </c>
      <c r="G348" t="s">
        <v>1304</v>
      </c>
      <c r="H348" t="s">
        <v>1305</v>
      </c>
      <c r="I348" t="s">
        <v>49</v>
      </c>
      <c r="J348" t="s">
        <v>64</v>
      </c>
    </row>
    <row r="349" spans="1:10" x14ac:dyDescent="0.35">
      <c r="A349" t="s">
        <v>1306</v>
      </c>
      <c r="B349" t="s">
        <v>1307</v>
      </c>
      <c r="C349" t="s">
        <v>99</v>
      </c>
      <c r="D349" t="s">
        <v>23</v>
      </c>
      <c r="E349" t="s">
        <v>134</v>
      </c>
      <c r="F349" t="s">
        <v>79</v>
      </c>
      <c r="G349" t="s">
        <v>1308</v>
      </c>
      <c r="H349" t="s">
        <v>1309</v>
      </c>
      <c r="I349" t="s">
        <v>32</v>
      </c>
      <c r="J349" t="s">
        <v>41</v>
      </c>
    </row>
    <row r="350" spans="1:10" x14ac:dyDescent="0.35">
      <c r="A350" t="s">
        <v>1310</v>
      </c>
      <c r="B350" t="s">
        <v>1311</v>
      </c>
      <c r="C350" t="s">
        <v>52</v>
      </c>
      <c r="D350" t="s">
        <v>53</v>
      </c>
      <c r="E350" t="s">
        <v>24</v>
      </c>
      <c r="F350" t="s">
        <v>15</v>
      </c>
      <c r="G350" t="s">
        <v>1312</v>
      </c>
      <c r="H350" t="s">
        <v>1313</v>
      </c>
      <c r="I350" t="s">
        <v>18</v>
      </c>
      <c r="J350" t="s">
        <v>19</v>
      </c>
    </row>
    <row r="351" spans="1:10" x14ac:dyDescent="0.35">
      <c r="A351" t="s">
        <v>1314</v>
      </c>
      <c r="B351" t="s">
        <v>759</v>
      </c>
      <c r="C351" t="s">
        <v>108</v>
      </c>
      <c r="D351" t="s">
        <v>23</v>
      </c>
      <c r="E351" t="s">
        <v>134</v>
      </c>
      <c r="F351" t="s">
        <v>38</v>
      </c>
      <c r="G351" t="s">
        <v>1315</v>
      </c>
      <c r="H351" t="s">
        <v>1316</v>
      </c>
      <c r="I351" t="s">
        <v>32</v>
      </c>
      <c r="J351" t="s">
        <v>33</v>
      </c>
    </row>
    <row r="352" spans="1:10" x14ac:dyDescent="0.35">
      <c r="A352" t="s">
        <v>1317</v>
      </c>
      <c r="B352" t="s">
        <v>817</v>
      </c>
      <c r="C352" t="s">
        <v>67</v>
      </c>
      <c r="D352" t="s">
        <v>53</v>
      </c>
      <c r="E352" t="s">
        <v>37</v>
      </c>
      <c r="F352" t="s">
        <v>74</v>
      </c>
      <c r="G352" t="s">
        <v>1318</v>
      </c>
      <c r="H352" t="s">
        <v>1319</v>
      </c>
      <c r="I352" t="s">
        <v>18</v>
      </c>
      <c r="J352" t="s">
        <v>19</v>
      </c>
    </row>
    <row r="353" spans="1:10" x14ac:dyDescent="0.35">
      <c r="A353" t="s">
        <v>1320</v>
      </c>
      <c r="B353" t="s">
        <v>557</v>
      </c>
      <c r="C353" t="s">
        <v>108</v>
      </c>
      <c r="D353" t="s">
        <v>23</v>
      </c>
      <c r="E353" t="s">
        <v>14</v>
      </c>
      <c r="F353" t="s">
        <v>79</v>
      </c>
      <c r="G353" t="s">
        <v>1321</v>
      </c>
      <c r="H353" t="s">
        <v>1322</v>
      </c>
      <c r="I353" t="s">
        <v>32</v>
      </c>
      <c r="J353" t="s">
        <v>33</v>
      </c>
    </row>
    <row r="354" spans="1:10" x14ac:dyDescent="0.35">
      <c r="A354" t="s">
        <v>1323</v>
      </c>
      <c r="B354" t="s">
        <v>57</v>
      </c>
      <c r="C354" t="s">
        <v>108</v>
      </c>
      <c r="D354" t="s">
        <v>73</v>
      </c>
      <c r="E354" t="s">
        <v>24</v>
      </c>
      <c r="F354" t="s">
        <v>46</v>
      </c>
      <c r="G354" t="s">
        <v>1324</v>
      </c>
      <c r="H354" t="s">
        <v>1325</v>
      </c>
      <c r="I354" t="s">
        <v>49</v>
      </c>
      <c r="J354" t="s">
        <v>33</v>
      </c>
    </row>
    <row r="355" spans="1:10" x14ac:dyDescent="0.35">
      <c r="A355" t="s">
        <v>1326</v>
      </c>
      <c r="B355" t="s">
        <v>919</v>
      </c>
      <c r="C355" t="s">
        <v>99</v>
      </c>
      <c r="D355" t="s">
        <v>73</v>
      </c>
      <c r="E355" t="s">
        <v>109</v>
      </c>
      <c r="F355" t="s">
        <v>25</v>
      </c>
      <c r="G355" t="s">
        <v>1327</v>
      </c>
      <c r="H355" t="s">
        <v>1328</v>
      </c>
      <c r="I355" t="s">
        <v>49</v>
      </c>
      <c r="J355" t="s">
        <v>64</v>
      </c>
    </row>
    <row r="356" spans="1:10" x14ac:dyDescent="0.35">
      <c r="A356" t="s">
        <v>1329</v>
      </c>
      <c r="B356" t="s">
        <v>523</v>
      </c>
      <c r="C356" t="s">
        <v>22</v>
      </c>
      <c r="D356" t="s">
        <v>44</v>
      </c>
      <c r="E356" t="s">
        <v>24</v>
      </c>
      <c r="F356" t="s">
        <v>74</v>
      </c>
      <c r="G356" t="s">
        <v>1330</v>
      </c>
      <c r="H356" t="s">
        <v>1331</v>
      </c>
      <c r="I356" t="s">
        <v>18</v>
      </c>
      <c r="J356" t="s">
        <v>64</v>
      </c>
    </row>
    <row r="357" spans="1:10" x14ac:dyDescent="0.35">
      <c r="A357" t="s">
        <v>1332</v>
      </c>
      <c r="B357" t="s">
        <v>454</v>
      </c>
      <c r="C357" t="s">
        <v>72</v>
      </c>
      <c r="D357" t="s">
        <v>36</v>
      </c>
      <c r="E357" t="s">
        <v>45</v>
      </c>
      <c r="F357" t="s">
        <v>15</v>
      </c>
      <c r="G357" t="s">
        <v>1333</v>
      </c>
      <c r="H357" t="s">
        <v>1334</v>
      </c>
      <c r="I357" t="s">
        <v>18</v>
      </c>
      <c r="J357" t="s">
        <v>33</v>
      </c>
    </row>
    <row r="358" spans="1:10" x14ac:dyDescent="0.35">
      <c r="A358" t="s">
        <v>1335</v>
      </c>
      <c r="B358" t="s">
        <v>527</v>
      </c>
      <c r="C358" t="s">
        <v>52</v>
      </c>
      <c r="D358" t="s">
        <v>44</v>
      </c>
      <c r="E358" t="s">
        <v>45</v>
      </c>
      <c r="F358" t="s">
        <v>46</v>
      </c>
      <c r="G358" t="s">
        <v>1336</v>
      </c>
      <c r="H358" t="s">
        <v>1337</v>
      </c>
      <c r="I358" t="s">
        <v>18</v>
      </c>
      <c r="J358" t="s">
        <v>41</v>
      </c>
    </row>
    <row r="359" spans="1:10" x14ac:dyDescent="0.35">
      <c r="A359" t="s">
        <v>1338</v>
      </c>
      <c r="B359" t="s">
        <v>751</v>
      </c>
      <c r="C359" t="s">
        <v>52</v>
      </c>
      <c r="D359" t="s">
        <v>73</v>
      </c>
      <c r="E359" t="s">
        <v>134</v>
      </c>
      <c r="F359" t="s">
        <v>46</v>
      </c>
      <c r="G359" t="s">
        <v>1339</v>
      </c>
      <c r="H359" t="s">
        <v>1340</v>
      </c>
      <c r="I359" t="s">
        <v>49</v>
      </c>
      <c r="J359" t="s">
        <v>33</v>
      </c>
    </row>
    <row r="360" spans="1:10" x14ac:dyDescent="0.35">
      <c r="A360" t="s">
        <v>1341</v>
      </c>
      <c r="B360" t="s">
        <v>1079</v>
      </c>
      <c r="C360" t="s">
        <v>12</v>
      </c>
      <c r="D360" t="s">
        <v>36</v>
      </c>
      <c r="E360" t="s">
        <v>37</v>
      </c>
      <c r="F360" t="s">
        <v>46</v>
      </c>
      <c r="G360" t="s">
        <v>1342</v>
      </c>
      <c r="H360" t="s">
        <v>1343</v>
      </c>
      <c r="I360" t="s">
        <v>18</v>
      </c>
      <c r="J360" t="s">
        <v>33</v>
      </c>
    </row>
    <row r="361" spans="1:10" x14ac:dyDescent="0.35">
      <c r="A361" t="s">
        <v>1344</v>
      </c>
      <c r="B361" t="s">
        <v>1296</v>
      </c>
      <c r="C361" t="s">
        <v>22</v>
      </c>
      <c r="D361" t="s">
        <v>73</v>
      </c>
      <c r="E361" t="s">
        <v>37</v>
      </c>
      <c r="F361" t="s">
        <v>46</v>
      </c>
      <c r="G361" t="s">
        <v>1345</v>
      </c>
      <c r="H361" t="s">
        <v>1346</v>
      </c>
      <c r="I361" t="s">
        <v>32</v>
      </c>
      <c r="J361" t="s">
        <v>19</v>
      </c>
    </row>
    <row r="362" spans="1:10" x14ac:dyDescent="0.35">
      <c r="A362" t="s">
        <v>1347</v>
      </c>
      <c r="B362" t="s">
        <v>103</v>
      </c>
      <c r="C362" t="s">
        <v>99</v>
      </c>
      <c r="D362" t="s">
        <v>23</v>
      </c>
      <c r="E362" t="s">
        <v>109</v>
      </c>
      <c r="F362" t="s">
        <v>38</v>
      </c>
      <c r="G362" t="s">
        <v>1348</v>
      </c>
      <c r="H362" t="s">
        <v>1349</v>
      </c>
      <c r="I362" t="s">
        <v>32</v>
      </c>
      <c r="J362" t="s">
        <v>19</v>
      </c>
    </row>
    <row r="363" spans="1:10" x14ac:dyDescent="0.35">
      <c r="A363" t="s">
        <v>1350</v>
      </c>
      <c r="B363" t="s">
        <v>125</v>
      </c>
      <c r="C363" t="s">
        <v>108</v>
      </c>
      <c r="D363" t="s">
        <v>13</v>
      </c>
      <c r="E363" t="s">
        <v>24</v>
      </c>
      <c r="F363" t="s">
        <v>25</v>
      </c>
      <c r="G363" t="s">
        <v>1351</v>
      </c>
      <c r="H363" t="s">
        <v>1352</v>
      </c>
      <c r="I363" t="s">
        <v>49</v>
      </c>
      <c r="J363" t="s">
        <v>64</v>
      </c>
    </row>
    <row r="364" spans="1:10" x14ac:dyDescent="0.35">
      <c r="A364" t="s">
        <v>1353</v>
      </c>
      <c r="B364" t="s">
        <v>809</v>
      </c>
      <c r="C364" t="s">
        <v>22</v>
      </c>
      <c r="D364" t="s">
        <v>44</v>
      </c>
      <c r="E364" t="s">
        <v>109</v>
      </c>
      <c r="F364" t="s">
        <v>25</v>
      </c>
      <c r="G364" t="s">
        <v>1354</v>
      </c>
      <c r="H364" t="s">
        <v>1355</v>
      </c>
      <c r="I364" t="s">
        <v>18</v>
      </c>
      <c r="J364" t="s">
        <v>19</v>
      </c>
    </row>
    <row r="365" spans="1:10" x14ac:dyDescent="0.35">
      <c r="A365" t="s">
        <v>1356</v>
      </c>
      <c r="B365" t="s">
        <v>190</v>
      </c>
      <c r="C365" t="s">
        <v>72</v>
      </c>
      <c r="D365" t="s">
        <v>36</v>
      </c>
      <c r="E365" t="s">
        <v>45</v>
      </c>
      <c r="F365" t="s">
        <v>25</v>
      </c>
      <c r="G365" t="s">
        <v>1357</v>
      </c>
      <c r="H365" t="s">
        <v>1358</v>
      </c>
      <c r="I365" t="s">
        <v>49</v>
      </c>
      <c r="J365" t="s">
        <v>64</v>
      </c>
    </row>
    <row r="366" spans="1:10" x14ac:dyDescent="0.35">
      <c r="A366" t="s">
        <v>1359</v>
      </c>
      <c r="B366" t="s">
        <v>121</v>
      </c>
      <c r="C366" t="s">
        <v>12</v>
      </c>
      <c r="D366" t="s">
        <v>53</v>
      </c>
      <c r="E366" t="s">
        <v>14</v>
      </c>
      <c r="F366" t="s">
        <v>38</v>
      </c>
      <c r="G366" t="s">
        <v>1360</v>
      </c>
      <c r="H366" t="s">
        <v>1361</v>
      </c>
      <c r="I366" t="s">
        <v>32</v>
      </c>
      <c r="J366" t="s">
        <v>33</v>
      </c>
    </row>
    <row r="367" spans="1:10" x14ac:dyDescent="0.35">
      <c r="A367" t="s">
        <v>1362</v>
      </c>
      <c r="B367" t="s">
        <v>1363</v>
      </c>
      <c r="C367" t="s">
        <v>108</v>
      </c>
      <c r="D367" t="s">
        <v>23</v>
      </c>
      <c r="E367" t="s">
        <v>134</v>
      </c>
      <c r="F367" t="s">
        <v>79</v>
      </c>
      <c r="G367" t="s">
        <v>1364</v>
      </c>
      <c r="H367" t="s">
        <v>1365</v>
      </c>
      <c r="I367" t="s">
        <v>32</v>
      </c>
      <c r="J367" t="s">
        <v>19</v>
      </c>
    </row>
    <row r="368" spans="1:10" x14ac:dyDescent="0.35">
      <c r="A368" t="s">
        <v>1366</v>
      </c>
      <c r="B368" t="s">
        <v>841</v>
      </c>
      <c r="C368" t="s">
        <v>108</v>
      </c>
      <c r="D368" t="s">
        <v>73</v>
      </c>
      <c r="E368" t="s">
        <v>134</v>
      </c>
      <c r="F368" t="s">
        <v>79</v>
      </c>
      <c r="G368" t="s">
        <v>1367</v>
      </c>
      <c r="H368" t="s">
        <v>1368</v>
      </c>
      <c r="I368" t="s">
        <v>32</v>
      </c>
      <c r="J368" t="s">
        <v>41</v>
      </c>
    </row>
    <row r="369" spans="1:10" x14ac:dyDescent="0.35">
      <c r="A369" t="s">
        <v>1369</v>
      </c>
      <c r="B369" t="s">
        <v>1255</v>
      </c>
      <c r="C369" t="s">
        <v>67</v>
      </c>
      <c r="D369" t="s">
        <v>36</v>
      </c>
      <c r="E369" t="s">
        <v>134</v>
      </c>
      <c r="F369" t="s">
        <v>15</v>
      </c>
      <c r="G369" t="s">
        <v>1370</v>
      </c>
      <c r="H369" t="s">
        <v>1371</v>
      </c>
      <c r="I369" t="s">
        <v>32</v>
      </c>
      <c r="J369" t="s">
        <v>33</v>
      </c>
    </row>
    <row r="370" spans="1:10" x14ac:dyDescent="0.35">
      <c r="A370" t="s">
        <v>1372</v>
      </c>
      <c r="B370" t="s">
        <v>1373</v>
      </c>
      <c r="C370" t="s">
        <v>99</v>
      </c>
      <c r="D370" t="s">
        <v>44</v>
      </c>
      <c r="E370" t="s">
        <v>134</v>
      </c>
      <c r="F370" t="s">
        <v>25</v>
      </c>
      <c r="G370" t="s">
        <v>1374</v>
      </c>
      <c r="H370" t="s">
        <v>1375</v>
      </c>
      <c r="I370" t="s">
        <v>18</v>
      </c>
      <c r="J370" t="s">
        <v>41</v>
      </c>
    </row>
    <row r="371" spans="1:10" x14ac:dyDescent="0.35">
      <c r="A371" t="s">
        <v>1376</v>
      </c>
      <c r="B371" t="s">
        <v>598</v>
      </c>
      <c r="C371" t="s">
        <v>67</v>
      </c>
      <c r="D371" t="s">
        <v>53</v>
      </c>
      <c r="E371" t="s">
        <v>14</v>
      </c>
      <c r="F371" t="s">
        <v>15</v>
      </c>
      <c r="G371" t="s">
        <v>1377</v>
      </c>
      <c r="H371" t="s">
        <v>1378</v>
      </c>
      <c r="I371" t="s">
        <v>18</v>
      </c>
      <c r="J371" t="s">
        <v>64</v>
      </c>
    </row>
    <row r="372" spans="1:10" x14ac:dyDescent="0.35">
      <c r="A372" t="s">
        <v>1379</v>
      </c>
      <c r="B372" t="s">
        <v>575</v>
      </c>
      <c r="C372" t="s">
        <v>99</v>
      </c>
      <c r="D372" t="s">
        <v>53</v>
      </c>
      <c r="E372" t="s">
        <v>45</v>
      </c>
      <c r="F372" t="s">
        <v>25</v>
      </c>
      <c r="G372" t="s">
        <v>1380</v>
      </c>
      <c r="H372" t="s">
        <v>1381</v>
      </c>
      <c r="I372" t="s">
        <v>49</v>
      </c>
      <c r="J372" t="s">
        <v>33</v>
      </c>
    </row>
    <row r="373" spans="1:10" x14ac:dyDescent="0.35">
      <c r="A373" t="s">
        <v>1382</v>
      </c>
      <c r="B373" t="s">
        <v>78</v>
      </c>
      <c r="C373" t="s">
        <v>99</v>
      </c>
      <c r="D373" t="s">
        <v>23</v>
      </c>
      <c r="E373" t="s">
        <v>134</v>
      </c>
      <c r="F373" t="s">
        <v>46</v>
      </c>
      <c r="G373" t="s">
        <v>1383</v>
      </c>
      <c r="H373" t="s">
        <v>1384</v>
      </c>
      <c r="I373" t="s">
        <v>18</v>
      </c>
      <c r="J373" t="s">
        <v>41</v>
      </c>
    </row>
    <row r="374" spans="1:10" x14ac:dyDescent="0.35">
      <c r="A374" t="s">
        <v>1385</v>
      </c>
      <c r="B374" t="s">
        <v>1386</v>
      </c>
      <c r="C374" t="s">
        <v>12</v>
      </c>
      <c r="D374" t="s">
        <v>23</v>
      </c>
      <c r="E374" t="s">
        <v>14</v>
      </c>
      <c r="F374" t="s">
        <v>38</v>
      </c>
      <c r="G374" t="s">
        <v>1387</v>
      </c>
      <c r="H374" t="s">
        <v>1388</v>
      </c>
      <c r="I374" t="s">
        <v>18</v>
      </c>
      <c r="J374" t="s">
        <v>64</v>
      </c>
    </row>
    <row r="375" spans="1:10" x14ac:dyDescent="0.35">
      <c r="A375" t="s">
        <v>1389</v>
      </c>
      <c r="B375" t="s">
        <v>1390</v>
      </c>
      <c r="C375" t="s">
        <v>12</v>
      </c>
      <c r="D375" t="s">
        <v>44</v>
      </c>
      <c r="E375" t="s">
        <v>14</v>
      </c>
      <c r="F375" t="s">
        <v>38</v>
      </c>
      <c r="G375" t="s">
        <v>1391</v>
      </c>
      <c r="H375" t="s">
        <v>1392</v>
      </c>
      <c r="I375" t="s">
        <v>49</v>
      </c>
      <c r="J375" t="s">
        <v>41</v>
      </c>
    </row>
    <row r="376" spans="1:10" x14ac:dyDescent="0.35">
      <c r="A376" t="s">
        <v>1393</v>
      </c>
      <c r="B376" t="s">
        <v>1394</v>
      </c>
      <c r="C376" t="s">
        <v>52</v>
      </c>
      <c r="D376" t="s">
        <v>23</v>
      </c>
      <c r="E376" t="s">
        <v>134</v>
      </c>
      <c r="F376" t="s">
        <v>38</v>
      </c>
      <c r="G376" t="s">
        <v>1395</v>
      </c>
      <c r="H376" t="s">
        <v>1396</v>
      </c>
      <c r="I376" t="s">
        <v>32</v>
      </c>
      <c r="J376" t="s">
        <v>64</v>
      </c>
    </row>
    <row r="377" spans="1:10" x14ac:dyDescent="0.35">
      <c r="A377" t="s">
        <v>1397</v>
      </c>
      <c r="B377" t="s">
        <v>1398</v>
      </c>
      <c r="C377" t="s">
        <v>22</v>
      </c>
      <c r="D377" t="s">
        <v>36</v>
      </c>
      <c r="E377" t="s">
        <v>45</v>
      </c>
      <c r="F377" t="s">
        <v>46</v>
      </c>
      <c r="G377" t="s">
        <v>1399</v>
      </c>
      <c r="H377" t="s">
        <v>1400</v>
      </c>
      <c r="I377" t="s">
        <v>49</v>
      </c>
      <c r="J377" t="s">
        <v>41</v>
      </c>
    </row>
    <row r="378" spans="1:10" x14ac:dyDescent="0.35">
      <c r="A378" t="s">
        <v>1401</v>
      </c>
      <c r="B378" t="s">
        <v>1402</v>
      </c>
      <c r="C378" t="s">
        <v>52</v>
      </c>
      <c r="D378" t="s">
        <v>23</v>
      </c>
      <c r="E378" t="s">
        <v>134</v>
      </c>
      <c r="F378" t="s">
        <v>79</v>
      </c>
      <c r="G378" t="s">
        <v>1403</v>
      </c>
      <c r="H378" t="s">
        <v>1404</v>
      </c>
      <c r="I378" t="s">
        <v>32</v>
      </c>
      <c r="J378" t="s">
        <v>19</v>
      </c>
    </row>
    <row r="379" spans="1:10" x14ac:dyDescent="0.35">
      <c r="A379" t="s">
        <v>1405</v>
      </c>
      <c r="B379" t="s">
        <v>1406</v>
      </c>
      <c r="C379" t="s">
        <v>108</v>
      </c>
      <c r="D379" t="s">
        <v>13</v>
      </c>
      <c r="E379" t="s">
        <v>37</v>
      </c>
      <c r="F379" t="s">
        <v>79</v>
      </c>
      <c r="G379" t="s">
        <v>1407</v>
      </c>
      <c r="H379" t="s">
        <v>1408</v>
      </c>
      <c r="I379" t="s">
        <v>32</v>
      </c>
      <c r="J379" t="s">
        <v>64</v>
      </c>
    </row>
    <row r="380" spans="1:10" x14ac:dyDescent="0.35">
      <c r="A380" t="s">
        <v>1409</v>
      </c>
      <c r="B380" t="s">
        <v>98</v>
      </c>
      <c r="C380" t="s">
        <v>99</v>
      </c>
      <c r="D380" t="s">
        <v>23</v>
      </c>
      <c r="E380" t="s">
        <v>109</v>
      </c>
      <c r="F380" t="s">
        <v>79</v>
      </c>
      <c r="G380" t="s">
        <v>1410</v>
      </c>
      <c r="H380" t="s">
        <v>1411</v>
      </c>
      <c r="I380" t="s">
        <v>18</v>
      </c>
      <c r="J380" t="s">
        <v>33</v>
      </c>
    </row>
    <row r="381" spans="1:10" x14ac:dyDescent="0.35">
      <c r="A381" t="s">
        <v>1412</v>
      </c>
      <c r="B381" t="s">
        <v>1413</v>
      </c>
      <c r="C381" t="s">
        <v>52</v>
      </c>
      <c r="D381" t="s">
        <v>36</v>
      </c>
      <c r="E381" t="s">
        <v>134</v>
      </c>
      <c r="F381" t="s">
        <v>38</v>
      </c>
      <c r="G381" t="s">
        <v>1414</v>
      </c>
      <c r="H381" t="s">
        <v>1415</v>
      </c>
      <c r="I381" t="s">
        <v>18</v>
      </c>
      <c r="J381" t="s">
        <v>64</v>
      </c>
    </row>
    <row r="382" spans="1:10" x14ac:dyDescent="0.35">
      <c r="A382" t="s">
        <v>1416</v>
      </c>
      <c r="B382" t="s">
        <v>1029</v>
      </c>
      <c r="C382" t="s">
        <v>12</v>
      </c>
      <c r="D382" t="s">
        <v>36</v>
      </c>
      <c r="E382" t="s">
        <v>45</v>
      </c>
      <c r="F382" t="s">
        <v>79</v>
      </c>
      <c r="G382" t="s">
        <v>1417</v>
      </c>
      <c r="H382" t="s">
        <v>1418</v>
      </c>
      <c r="I382" t="s">
        <v>18</v>
      </c>
      <c r="J382" t="s">
        <v>41</v>
      </c>
    </row>
    <row r="383" spans="1:10" x14ac:dyDescent="0.35">
      <c r="A383" t="s">
        <v>1419</v>
      </c>
      <c r="B383" t="s">
        <v>1072</v>
      </c>
      <c r="C383" t="s">
        <v>72</v>
      </c>
      <c r="D383" t="s">
        <v>23</v>
      </c>
      <c r="E383" t="s">
        <v>134</v>
      </c>
      <c r="F383" t="s">
        <v>79</v>
      </c>
      <c r="G383" t="s">
        <v>1420</v>
      </c>
      <c r="H383" t="s">
        <v>1421</v>
      </c>
      <c r="I383" t="s">
        <v>18</v>
      </c>
      <c r="J383" t="s">
        <v>64</v>
      </c>
    </row>
    <row r="384" spans="1:10" x14ac:dyDescent="0.35">
      <c r="A384" t="s">
        <v>1422</v>
      </c>
      <c r="B384" t="s">
        <v>107</v>
      </c>
      <c r="C384" t="s">
        <v>67</v>
      </c>
      <c r="D384" t="s">
        <v>13</v>
      </c>
      <c r="E384" t="s">
        <v>45</v>
      </c>
      <c r="F384" t="s">
        <v>79</v>
      </c>
      <c r="G384" t="s">
        <v>1423</v>
      </c>
      <c r="H384" t="s">
        <v>1424</v>
      </c>
      <c r="I384" t="s">
        <v>49</v>
      </c>
      <c r="J384" t="s">
        <v>19</v>
      </c>
    </row>
    <row r="385" spans="1:10" x14ac:dyDescent="0.35">
      <c r="A385" t="s">
        <v>1425</v>
      </c>
      <c r="B385" t="s">
        <v>845</v>
      </c>
      <c r="C385" t="s">
        <v>108</v>
      </c>
      <c r="D385" t="s">
        <v>23</v>
      </c>
      <c r="E385" t="s">
        <v>14</v>
      </c>
      <c r="F385" t="s">
        <v>74</v>
      </c>
      <c r="G385" t="s">
        <v>1426</v>
      </c>
      <c r="H385" t="s">
        <v>1427</v>
      </c>
      <c r="I385" t="s">
        <v>18</v>
      </c>
      <c r="J385" t="s">
        <v>19</v>
      </c>
    </row>
    <row r="386" spans="1:10" x14ac:dyDescent="0.35">
      <c r="A386" t="s">
        <v>1428</v>
      </c>
      <c r="B386" t="s">
        <v>1429</v>
      </c>
      <c r="C386" t="s">
        <v>99</v>
      </c>
      <c r="D386" t="s">
        <v>36</v>
      </c>
      <c r="E386" t="s">
        <v>134</v>
      </c>
      <c r="F386" t="s">
        <v>15</v>
      </c>
      <c r="G386" t="s">
        <v>1430</v>
      </c>
      <c r="H386" t="s">
        <v>1431</v>
      </c>
      <c r="I386" t="s">
        <v>32</v>
      </c>
      <c r="J386" t="s">
        <v>64</v>
      </c>
    </row>
    <row r="387" spans="1:10" x14ac:dyDescent="0.35">
      <c r="A387" t="s">
        <v>1432</v>
      </c>
      <c r="B387" t="s">
        <v>1141</v>
      </c>
      <c r="C387" t="s">
        <v>67</v>
      </c>
      <c r="D387" t="s">
        <v>13</v>
      </c>
      <c r="E387" t="s">
        <v>24</v>
      </c>
      <c r="F387" t="s">
        <v>46</v>
      </c>
      <c r="G387" t="s">
        <v>1433</v>
      </c>
      <c r="H387" t="s">
        <v>1434</v>
      </c>
      <c r="I387" t="s">
        <v>49</v>
      </c>
      <c r="J387" t="s">
        <v>33</v>
      </c>
    </row>
    <row r="388" spans="1:10" x14ac:dyDescent="0.35">
      <c r="A388" t="s">
        <v>1435</v>
      </c>
      <c r="B388" t="s">
        <v>434</v>
      </c>
      <c r="C388" t="s">
        <v>72</v>
      </c>
      <c r="D388" t="s">
        <v>36</v>
      </c>
      <c r="E388" t="s">
        <v>14</v>
      </c>
      <c r="F388" t="s">
        <v>38</v>
      </c>
      <c r="G388" t="s">
        <v>1436</v>
      </c>
      <c r="H388" t="s">
        <v>1437</v>
      </c>
      <c r="I388" t="s">
        <v>49</v>
      </c>
      <c r="J388" t="s">
        <v>41</v>
      </c>
    </row>
    <row r="389" spans="1:10" x14ac:dyDescent="0.35">
      <c r="A389" t="s">
        <v>1438</v>
      </c>
      <c r="B389" t="s">
        <v>636</v>
      </c>
      <c r="C389" t="s">
        <v>22</v>
      </c>
      <c r="D389" t="s">
        <v>53</v>
      </c>
      <c r="E389" t="s">
        <v>45</v>
      </c>
      <c r="F389" t="s">
        <v>38</v>
      </c>
      <c r="G389" t="s">
        <v>1439</v>
      </c>
      <c r="H389" t="s">
        <v>1440</v>
      </c>
      <c r="I389" t="s">
        <v>18</v>
      </c>
      <c r="J389" t="s">
        <v>41</v>
      </c>
    </row>
    <row r="390" spans="1:10" x14ac:dyDescent="0.35">
      <c r="A390" t="s">
        <v>1441</v>
      </c>
      <c r="B390" t="s">
        <v>343</v>
      </c>
      <c r="C390" t="s">
        <v>108</v>
      </c>
      <c r="D390" t="s">
        <v>13</v>
      </c>
      <c r="E390" t="s">
        <v>24</v>
      </c>
      <c r="F390" t="s">
        <v>74</v>
      </c>
      <c r="G390" t="s">
        <v>1442</v>
      </c>
      <c r="H390" t="s">
        <v>1443</v>
      </c>
      <c r="I390" t="s">
        <v>49</v>
      </c>
      <c r="J390" t="s">
        <v>64</v>
      </c>
    </row>
    <row r="391" spans="1:10" x14ac:dyDescent="0.35">
      <c r="A391" t="s">
        <v>1444</v>
      </c>
      <c r="B391" t="s">
        <v>579</v>
      </c>
      <c r="C391" t="s">
        <v>108</v>
      </c>
      <c r="D391" t="s">
        <v>53</v>
      </c>
      <c r="E391" t="s">
        <v>14</v>
      </c>
      <c r="F391" t="s">
        <v>25</v>
      </c>
      <c r="G391" t="s">
        <v>1445</v>
      </c>
      <c r="H391" t="s">
        <v>1446</v>
      </c>
      <c r="I391" t="s">
        <v>32</v>
      </c>
      <c r="J391" t="s">
        <v>33</v>
      </c>
    </row>
    <row r="392" spans="1:10" x14ac:dyDescent="0.35">
      <c r="A392" t="s">
        <v>1447</v>
      </c>
      <c r="B392" t="s">
        <v>1448</v>
      </c>
      <c r="C392" t="s">
        <v>108</v>
      </c>
      <c r="D392" t="s">
        <v>53</v>
      </c>
      <c r="E392" t="s">
        <v>109</v>
      </c>
      <c r="F392" t="s">
        <v>79</v>
      </c>
      <c r="G392" t="s">
        <v>1449</v>
      </c>
      <c r="H392" t="s">
        <v>1450</v>
      </c>
      <c r="I392" t="s">
        <v>49</v>
      </c>
      <c r="J392" t="s">
        <v>19</v>
      </c>
    </row>
    <row r="393" spans="1:10" x14ac:dyDescent="0.35">
      <c r="A393" t="s">
        <v>1451</v>
      </c>
      <c r="B393" t="s">
        <v>117</v>
      </c>
      <c r="C393" t="s">
        <v>52</v>
      </c>
      <c r="D393" t="s">
        <v>36</v>
      </c>
      <c r="E393" t="s">
        <v>37</v>
      </c>
      <c r="F393" t="s">
        <v>74</v>
      </c>
      <c r="G393" t="s">
        <v>1452</v>
      </c>
      <c r="H393" t="s">
        <v>1453</v>
      </c>
      <c r="I393" t="s">
        <v>18</v>
      </c>
      <c r="J393" t="s">
        <v>19</v>
      </c>
    </row>
    <row r="394" spans="1:10" x14ac:dyDescent="0.35">
      <c r="A394" t="s">
        <v>1454</v>
      </c>
      <c r="B394" t="s">
        <v>543</v>
      </c>
      <c r="C394" t="s">
        <v>67</v>
      </c>
      <c r="D394" t="s">
        <v>13</v>
      </c>
      <c r="E394" t="s">
        <v>134</v>
      </c>
      <c r="F394" t="s">
        <v>25</v>
      </c>
      <c r="G394" t="s">
        <v>1455</v>
      </c>
      <c r="H394" t="s">
        <v>1456</v>
      </c>
      <c r="I394" t="s">
        <v>49</v>
      </c>
      <c r="J394" t="s">
        <v>41</v>
      </c>
    </row>
    <row r="395" spans="1:10" x14ac:dyDescent="0.35">
      <c r="A395" t="s">
        <v>1457</v>
      </c>
      <c r="B395" t="s">
        <v>625</v>
      </c>
      <c r="C395" t="s">
        <v>108</v>
      </c>
      <c r="D395" t="s">
        <v>23</v>
      </c>
      <c r="E395" t="s">
        <v>24</v>
      </c>
      <c r="F395" t="s">
        <v>79</v>
      </c>
      <c r="G395" t="s">
        <v>1458</v>
      </c>
      <c r="H395" t="s">
        <v>1459</v>
      </c>
      <c r="I395" t="s">
        <v>49</v>
      </c>
      <c r="J395" t="s">
        <v>33</v>
      </c>
    </row>
    <row r="396" spans="1:10" x14ac:dyDescent="0.35">
      <c r="A396" t="s">
        <v>1460</v>
      </c>
      <c r="B396" t="s">
        <v>867</v>
      </c>
      <c r="C396" t="s">
        <v>12</v>
      </c>
      <c r="D396" t="s">
        <v>73</v>
      </c>
      <c r="E396" t="s">
        <v>134</v>
      </c>
      <c r="F396" t="s">
        <v>79</v>
      </c>
      <c r="G396" t="s">
        <v>1461</v>
      </c>
      <c r="H396" t="s">
        <v>1462</v>
      </c>
      <c r="I396" t="s">
        <v>32</v>
      </c>
      <c r="J396" t="s">
        <v>64</v>
      </c>
    </row>
    <row r="397" spans="1:10" x14ac:dyDescent="0.35">
      <c r="A397" t="s">
        <v>1463</v>
      </c>
      <c r="B397" t="s">
        <v>950</v>
      </c>
      <c r="C397" t="s">
        <v>22</v>
      </c>
      <c r="D397" t="s">
        <v>13</v>
      </c>
      <c r="E397" t="s">
        <v>24</v>
      </c>
      <c r="F397" t="s">
        <v>15</v>
      </c>
      <c r="G397" t="s">
        <v>1464</v>
      </c>
      <c r="H397" t="s">
        <v>1465</v>
      </c>
      <c r="I397" t="s">
        <v>18</v>
      </c>
      <c r="J397" t="s">
        <v>33</v>
      </c>
    </row>
    <row r="398" spans="1:10" x14ac:dyDescent="0.35">
      <c r="A398" t="s">
        <v>1466</v>
      </c>
      <c r="B398" t="s">
        <v>1467</v>
      </c>
      <c r="C398" t="s">
        <v>52</v>
      </c>
      <c r="D398" t="s">
        <v>73</v>
      </c>
      <c r="E398" t="s">
        <v>37</v>
      </c>
      <c r="F398" t="s">
        <v>15</v>
      </c>
      <c r="G398" t="s">
        <v>1468</v>
      </c>
      <c r="H398" t="s">
        <v>1469</v>
      </c>
      <c r="I398" t="s">
        <v>32</v>
      </c>
      <c r="J398" t="s">
        <v>64</v>
      </c>
    </row>
    <row r="399" spans="1:10" x14ac:dyDescent="0.35">
      <c r="A399" t="s">
        <v>1470</v>
      </c>
      <c r="B399" t="s">
        <v>241</v>
      </c>
      <c r="C399" t="s">
        <v>99</v>
      </c>
      <c r="D399" t="s">
        <v>44</v>
      </c>
      <c r="E399" t="s">
        <v>109</v>
      </c>
      <c r="F399" t="s">
        <v>15</v>
      </c>
      <c r="G399" t="s">
        <v>1471</v>
      </c>
      <c r="H399" t="s">
        <v>1472</v>
      </c>
      <c r="I399" t="s">
        <v>32</v>
      </c>
      <c r="J399" t="s">
        <v>41</v>
      </c>
    </row>
    <row r="400" spans="1:10" x14ac:dyDescent="0.35">
      <c r="A400" t="s">
        <v>1473</v>
      </c>
      <c r="B400" t="s">
        <v>1474</v>
      </c>
      <c r="C400" t="s">
        <v>108</v>
      </c>
      <c r="D400" t="s">
        <v>44</v>
      </c>
      <c r="E400" t="s">
        <v>45</v>
      </c>
      <c r="F400" t="s">
        <v>79</v>
      </c>
      <c r="G400" t="s">
        <v>1475</v>
      </c>
      <c r="H400" t="s">
        <v>1476</v>
      </c>
      <c r="I400" t="s">
        <v>49</v>
      </c>
      <c r="J400" t="s">
        <v>64</v>
      </c>
    </row>
    <row r="401" spans="1:10" x14ac:dyDescent="0.35">
      <c r="A401" t="s">
        <v>1477</v>
      </c>
      <c r="B401" t="s">
        <v>347</v>
      </c>
      <c r="C401" t="s">
        <v>108</v>
      </c>
      <c r="D401" t="s">
        <v>73</v>
      </c>
      <c r="E401" t="s">
        <v>109</v>
      </c>
      <c r="F401" t="s">
        <v>74</v>
      </c>
      <c r="G401" t="s">
        <v>1478</v>
      </c>
      <c r="H401" t="s">
        <v>1479</v>
      </c>
      <c r="I401" t="s">
        <v>18</v>
      </c>
      <c r="J401" t="s">
        <v>41</v>
      </c>
    </row>
    <row r="402" spans="1:10" x14ac:dyDescent="0.35">
      <c r="A402" t="s">
        <v>1480</v>
      </c>
      <c r="B402" t="s">
        <v>332</v>
      </c>
      <c r="C402" t="s">
        <v>108</v>
      </c>
      <c r="D402" t="s">
        <v>44</v>
      </c>
      <c r="E402" t="s">
        <v>14</v>
      </c>
      <c r="F402" t="s">
        <v>79</v>
      </c>
      <c r="G402" t="s">
        <v>1481</v>
      </c>
      <c r="H402" t="s">
        <v>1482</v>
      </c>
      <c r="I402" t="s">
        <v>32</v>
      </c>
      <c r="J402" t="s">
        <v>64</v>
      </c>
    </row>
    <row r="403" spans="1:10" x14ac:dyDescent="0.35">
      <c r="A403" t="s">
        <v>1483</v>
      </c>
      <c r="B403" t="s">
        <v>1448</v>
      </c>
      <c r="C403" t="s">
        <v>22</v>
      </c>
      <c r="D403" t="s">
        <v>73</v>
      </c>
      <c r="E403" t="s">
        <v>109</v>
      </c>
      <c r="F403" t="s">
        <v>46</v>
      </c>
      <c r="G403" t="s">
        <v>1484</v>
      </c>
      <c r="H403" t="s">
        <v>1485</v>
      </c>
      <c r="I403" t="s">
        <v>32</v>
      </c>
      <c r="J403" t="s">
        <v>19</v>
      </c>
    </row>
    <row r="404" spans="1:10" x14ac:dyDescent="0.35">
      <c r="A404" t="s">
        <v>1486</v>
      </c>
      <c r="B404" t="s">
        <v>66</v>
      </c>
      <c r="C404" t="s">
        <v>52</v>
      </c>
      <c r="D404" t="s">
        <v>23</v>
      </c>
      <c r="E404" t="s">
        <v>109</v>
      </c>
      <c r="F404" t="s">
        <v>46</v>
      </c>
      <c r="G404" t="s">
        <v>1487</v>
      </c>
      <c r="H404" t="s">
        <v>1488</v>
      </c>
      <c r="I404" t="s">
        <v>32</v>
      </c>
      <c r="J404" t="s">
        <v>33</v>
      </c>
    </row>
    <row r="405" spans="1:10" x14ac:dyDescent="0.35">
      <c r="A405" t="s">
        <v>1489</v>
      </c>
      <c r="B405" t="s">
        <v>275</v>
      </c>
      <c r="C405" t="s">
        <v>99</v>
      </c>
      <c r="D405" t="s">
        <v>44</v>
      </c>
      <c r="E405" t="s">
        <v>45</v>
      </c>
      <c r="F405" t="s">
        <v>46</v>
      </c>
      <c r="G405" t="s">
        <v>1490</v>
      </c>
      <c r="H405" t="s">
        <v>1491</v>
      </c>
      <c r="I405" t="s">
        <v>32</v>
      </c>
      <c r="J405" t="s">
        <v>19</v>
      </c>
    </row>
    <row r="406" spans="1:10" x14ac:dyDescent="0.35">
      <c r="A406" t="s">
        <v>1492</v>
      </c>
      <c r="B406" t="s">
        <v>809</v>
      </c>
      <c r="C406" t="s">
        <v>99</v>
      </c>
      <c r="D406" t="s">
        <v>13</v>
      </c>
      <c r="E406" t="s">
        <v>109</v>
      </c>
      <c r="F406" t="s">
        <v>79</v>
      </c>
      <c r="G406" t="s">
        <v>1493</v>
      </c>
      <c r="H406" t="s">
        <v>1494</v>
      </c>
      <c r="I406" t="s">
        <v>32</v>
      </c>
      <c r="J406" t="s">
        <v>64</v>
      </c>
    </row>
    <row r="407" spans="1:10" x14ac:dyDescent="0.35">
      <c r="A407" t="s">
        <v>1495</v>
      </c>
      <c r="B407" t="s">
        <v>579</v>
      </c>
      <c r="C407" t="s">
        <v>52</v>
      </c>
      <c r="D407" t="s">
        <v>23</v>
      </c>
      <c r="E407" t="s">
        <v>24</v>
      </c>
      <c r="F407" t="s">
        <v>74</v>
      </c>
      <c r="G407" t="s">
        <v>1496</v>
      </c>
      <c r="H407" t="s">
        <v>1497</v>
      </c>
      <c r="I407" t="s">
        <v>49</v>
      </c>
      <c r="J407" t="s">
        <v>19</v>
      </c>
    </row>
    <row r="408" spans="1:10" x14ac:dyDescent="0.35">
      <c r="A408" t="s">
        <v>1498</v>
      </c>
      <c r="B408" t="s">
        <v>1499</v>
      </c>
      <c r="C408" t="s">
        <v>67</v>
      </c>
      <c r="D408" t="s">
        <v>13</v>
      </c>
      <c r="E408" t="s">
        <v>109</v>
      </c>
      <c r="F408" t="s">
        <v>15</v>
      </c>
      <c r="G408" t="s">
        <v>1500</v>
      </c>
      <c r="H408" t="s">
        <v>1501</v>
      </c>
      <c r="I408" t="s">
        <v>32</v>
      </c>
      <c r="J408" t="s">
        <v>19</v>
      </c>
    </row>
    <row r="409" spans="1:10" x14ac:dyDescent="0.35">
      <c r="A409" t="s">
        <v>1502</v>
      </c>
      <c r="B409" t="s">
        <v>1503</v>
      </c>
      <c r="C409" t="s">
        <v>22</v>
      </c>
      <c r="D409" t="s">
        <v>13</v>
      </c>
      <c r="E409" t="s">
        <v>134</v>
      </c>
      <c r="F409" t="s">
        <v>25</v>
      </c>
      <c r="G409" t="s">
        <v>1504</v>
      </c>
      <c r="H409" t="s">
        <v>1505</v>
      </c>
      <c r="I409" t="s">
        <v>49</v>
      </c>
      <c r="J409" t="s">
        <v>19</v>
      </c>
    </row>
    <row r="410" spans="1:10" x14ac:dyDescent="0.35">
      <c r="A410" t="s">
        <v>1506</v>
      </c>
      <c r="B410" t="s">
        <v>298</v>
      </c>
      <c r="C410" t="s">
        <v>99</v>
      </c>
      <c r="D410" t="s">
        <v>23</v>
      </c>
      <c r="E410" t="s">
        <v>24</v>
      </c>
      <c r="F410" t="s">
        <v>79</v>
      </c>
      <c r="G410" t="s">
        <v>1507</v>
      </c>
      <c r="H410" t="s">
        <v>1508</v>
      </c>
      <c r="I410" t="s">
        <v>32</v>
      </c>
      <c r="J410" t="s">
        <v>41</v>
      </c>
    </row>
    <row r="411" spans="1:10" x14ac:dyDescent="0.35">
      <c r="A411" t="s">
        <v>1509</v>
      </c>
      <c r="B411" t="s">
        <v>174</v>
      </c>
      <c r="C411" t="s">
        <v>12</v>
      </c>
      <c r="D411" t="s">
        <v>44</v>
      </c>
      <c r="E411" t="s">
        <v>45</v>
      </c>
      <c r="F411" t="s">
        <v>15</v>
      </c>
      <c r="G411" t="s">
        <v>1510</v>
      </c>
      <c r="H411" t="s">
        <v>1511</v>
      </c>
      <c r="I411" t="s">
        <v>32</v>
      </c>
      <c r="J411" t="s">
        <v>19</v>
      </c>
    </row>
    <row r="412" spans="1:10" x14ac:dyDescent="0.35">
      <c r="A412" t="s">
        <v>1512</v>
      </c>
      <c r="B412" t="s">
        <v>980</v>
      </c>
      <c r="C412" t="s">
        <v>12</v>
      </c>
      <c r="D412" t="s">
        <v>73</v>
      </c>
      <c r="E412" t="s">
        <v>134</v>
      </c>
      <c r="F412" t="s">
        <v>74</v>
      </c>
      <c r="G412" t="s">
        <v>1513</v>
      </c>
      <c r="H412" t="s">
        <v>1514</v>
      </c>
      <c r="I412" t="s">
        <v>18</v>
      </c>
      <c r="J412" t="s">
        <v>64</v>
      </c>
    </row>
    <row r="413" spans="1:10" x14ac:dyDescent="0.35">
      <c r="A413" t="s">
        <v>1515</v>
      </c>
      <c r="B413" t="s">
        <v>1503</v>
      </c>
      <c r="C413" t="s">
        <v>99</v>
      </c>
      <c r="D413" t="s">
        <v>13</v>
      </c>
      <c r="E413" t="s">
        <v>45</v>
      </c>
      <c r="F413" t="s">
        <v>74</v>
      </c>
      <c r="G413" t="s">
        <v>1516</v>
      </c>
      <c r="H413" t="s">
        <v>1517</v>
      </c>
      <c r="I413" t="s">
        <v>18</v>
      </c>
      <c r="J413" t="s">
        <v>41</v>
      </c>
    </row>
    <row r="414" spans="1:10" x14ac:dyDescent="0.35">
      <c r="A414" t="s">
        <v>1518</v>
      </c>
      <c r="B414" t="s">
        <v>1474</v>
      </c>
      <c r="C414" t="s">
        <v>22</v>
      </c>
      <c r="D414" t="s">
        <v>44</v>
      </c>
      <c r="E414" t="s">
        <v>134</v>
      </c>
      <c r="F414" t="s">
        <v>15</v>
      </c>
      <c r="G414" t="s">
        <v>1519</v>
      </c>
      <c r="H414" t="s">
        <v>1520</v>
      </c>
      <c r="I414" t="s">
        <v>18</v>
      </c>
      <c r="J414" t="s">
        <v>41</v>
      </c>
    </row>
    <row r="415" spans="1:10" x14ac:dyDescent="0.35">
      <c r="A415" t="s">
        <v>1521</v>
      </c>
      <c r="B415" t="s">
        <v>241</v>
      </c>
      <c r="C415" t="s">
        <v>72</v>
      </c>
      <c r="D415" t="s">
        <v>44</v>
      </c>
      <c r="E415" t="s">
        <v>109</v>
      </c>
      <c r="F415" t="s">
        <v>79</v>
      </c>
      <c r="G415" t="s">
        <v>1522</v>
      </c>
      <c r="H415" t="s">
        <v>1523</v>
      </c>
      <c r="I415" t="s">
        <v>49</v>
      </c>
      <c r="J415" t="s">
        <v>41</v>
      </c>
    </row>
    <row r="416" spans="1:10" x14ac:dyDescent="0.35">
      <c r="A416" t="s">
        <v>1524</v>
      </c>
      <c r="B416" t="s">
        <v>328</v>
      </c>
      <c r="C416" t="s">
        <v>12</v>
      </c>
      <c r="D416" t="s">
        <v>53</v>
      </c>
      <c r="E416" t="s">
        <v>24</v>
      </c>
      <c r="F416" t="s">
        <v>79</v>
      </c>
      <c r="G416" t="s">
        <v>1525</v>
      </c>
      <c r="H416" t="s">
        <v>1526</v>
      </c>
      <c r="I416" t="s">
        <v>32</v>
      </c>
      <c r="J416" t="s">
        <v>19</v>
      </c>
    </row>
    <row r="417" spans="1:10" x14ac:dyDescent="0.35">
      <c r="A417" t="s">
        <v>1527</v>
      </c>
      <c r="B417" t="s">
        <v>1528</v>
      </c>
      <c r="C417" t="s">
        <v>99</v>
      </c>
      <c r="D417" t="s">
        <v>23</v>
      </c>
      <c r="E417" t="s">
        <v>24</v>
      </c>
      <c r="F417" t="s">
        <v>25</v>
      </c>
      <c r="G417" t="s">
        <v>1529</v>
      </c>
      <c r="H417" t="s">
        <v>1530</v>
      </c>
      <c r="I417" t="s">
        <v>18</v>
      </c>
      <c r="J417" t="s">
        <v>33</v>
      </c>
    </row>
    <row r="418" spans="1:10" x14ac:dyDescent="0.35">
      <c r="A418" t="s">
        <v>1531</v>
      </c>
      <c r="B418" t="s">
        <v>245</v>
      </c>
      <c r="C418" t="s">
        <v>108</v>
      </c>
      <c r="D418" t="s">
        <v>13</v>
      </c>
      <c r="E418" t="s">
        <v>45</v>
      </c>
      <c r="F418" t="s">
        <v>46</v>
      </c>
      <c r="G418" t="s">
        <v>1532</v>
      </c>
      <c r="H418" t="s">
        <v>1533</v>
      </c>
      <c r="I418" t="s">
        <v>18</v>
      </c>
      <c r="J418" t="s">
        <v>19</v>
      </c>
    </row>
    <row r="419" spans="1:10" x14ac:dyDescent="0.35">
      <c r="A419" t="s">
        <v>1534</v>
      </c>
      <c r="B419" t="s">
        <v>51</v>
      </c>
      <c r="C419" t="s">
        <v>22</v>
      </c>
      <c r="D419" t="s">
        <v>73</v>
      </c>
      <c r="E419" t="s">
        <v>109</v>
      </c>
      <c r="F419" t="s">
        <v>46</v>
      </c>
      <c r="G419" t="s">
        <v>1535</v>
      </c>
      <c r="H419" t="s">
        <v>1536</v>
      </c>
      <c r="I419" t="s">
        <v>18</v>
      </c>
      <c r="J419" t="s">
        <v>41</v>
      </c>
    </row>
    <row r="420" spans="1:10" x14ac:dyDescent="0.35">
      <c r="A420" t="s">
        <v>1537</v>
      </c>
      <c r="B420" t="s">
        <v>71</v>
      </c>
      <c r="C420" t="s">
        <v>99</v>
      </c>
      <c r="D420" t="s">
        <v>23</v>
      </c>
      <c r="E420" t="s">
        <v>24</v>
      </c>
      <c r="F420" t="s">
        <v>25</v>
      </c>
      <c r="G420" t="s">
        <v>1538</v>
      </c>
      <c r="H420" t="s">
        <v>1539</v>
      </c>
      <c r="I420" t="s">
        <v>49</v>
      </c>
      <c r="J420" t="s">
        <v>33</v>
      </c>
    </row>
    <row r="421" spans="1:10" x14ac:dyDescent="0.35">
      <c r="A421" t="s">
        <v>1540</v>
      </c>
      <c r="B421" t="s">
        <v>759</v>
      </c>
      <c r="C421" t="s">
        <v>12</v>
      </c>
      <c r="D421" t="s">
        <v>36</v>
      </c>
      <c r="E421" t="s">
        <v>24</v>
      </c>
      <c r="F421" t="s">
        <v>15</v>
      </c>
      <c r="G421" t="s">
        <v>1541</v>
      </c>
      <c r="H421" t="s">
        <v>1542</v>
      </c>
      <c r="I421" t="s">
        <v>49</v>
      </c>
      <c r="J421" t="s">
        <v>33</v>
      </c>
    </row>
    <row r="422" spans="1:10" x14ac:dyDescent="0.35">
      <c r="A422" t="s">
        <v>1543</v>
      </c>
      <c r="B422" t="s">
        <v>1544</v>
      </c>
      <c r="C422" t="s">
        <v>67</v>
      </c>
      <c r="D422" t="s">
        <v>73</v>
      </c>
      <c r="E422" t="s">
        <v>14</v>
      </c>
      <c r="F422" t="s">
        <v>25</v>
      </c>
      <c r="G422" t="s">
        <v>1545</v>
      </c>
      <c r="H422" t="s">
        <v>1546</v>
      </c>
      <c r="I422" t="s">
        <v>49</v>
      </c>
      <c r="J422" t="s">
        <v>19</v>
      </c>
    </row>
    <row r="423" spans="1:10" x14ac:dyDescent="0.35">
      <c r="A423" t="s">
        <v>1547</v>
      </c>
      <c r="B423" t="s">
        <v>950</v>
      </c>
      <c r="C423" t="s">
        <v>12</v>
      </c>
      <c r="D423" t="s">
        <v>13</v>
      </c>
      <c r="E423" t="s">
        <v>14</v>
      </c>
      <c r="F423" t="s">
        <v>79</v>
      </c>
      <c r="G423" t="s">
        <v>1548</v>
      </c>
      <c r="H423" t="s">
        <v>1549</v>
      </c>
      <c r="I423" t="s">
        <v>49</v>
      </c>
      <c r="J423" t="s">
        <v>33</v>
      </c>
    </row>
    <row r="424" spans="1:10" x14ac:dyDescent="0.35">
      <c r="A424" t="s">
        <v>1550</v>
      </c>
      <c r="B424" t="s">
        <v>644</v>
      </c>
      <c r="C424" t="s">
        <v>52</v>
      </c>
      <c r="D424" t="s">
        <v>44</v>
      </c>
      <c r="E424" t="s">
        <v>24</v>
      </c>
      <c r="F424" t="s">
        <v>38</v>
      </c>
      <c r="G424" t="s">
        <v>1551</v>
      </c>
      <c r="H424" t="s">
        <v>1552</v>
      </c>
      <c r="I424" t="s">
        <v>32</v>
      </c>
      <c r="J424" t="s">
        <v>64</v>
      </c>
    </row>
    <row r="425" spans="1:10" x14ac:dyDescent="0.35">
      <c r="A425" t="s">
        <v>1553</v>
      </c>
      <c r="B425" t="s">
        <v>1554</v>
      </c>
      <c r="C425" t="s">
        <v>99</v>
      </c>
      <c r="D425" t="s">
        <v>73</v>
      </c>
      <c r="E425" t="s">
        <v>24</v>
      </c>
      <c r="F425" t="s">
        <v>46</v>
      </c>
      <c r="G425" t="s">
        <v>1555</v>
      </c>
      <c r="H425" t="s">
        <v>1556</v>
      </c>
      <c r="I425" t="s">
        <v>49</v>
      </c>
      <c r="J425" t="s">
        <v>19</v>
      </c>
    </row>
    <row r="426" spans="1:10" x14ac:dyDescent="0.35">
      <c r="A426" t="s">
        <v>1557</v>
      </c>
      <c r="B426" t="s">
        <v>1558</v>
      </c>
      <c r="C426" t="s">
        <v>22</v>
      </c>
      <c r="D426" t="s">
        <v>44</v>
      </c>
      <c r="E426" t="s">
        <v>109</v>
      </c>
      <c r="F426" t="s">
        <v>79</v>
      </c>
      <c r="G426" t="s">
        <v>1559</v>
      </c>
      <c r="H426" t="s">
        <v>1560</v>
      </c>
      <c r="I426" t="s">
        <v>18</v>
      </c>
      <c r="J426" t="s">
        <v>41</v>
      </c>
    </row>
    <row r="427" spans="1:10" x14ac:dyDescent="0.35">
      <c r="A427" t="s">
        <v>1561</v>
      </c>
      <c r="B427" t="s">
        <v>129</v>
      </c>
      <c r="C427" t="s">
        <v>99</v>
      </c>
      <c r="D427" t="s">
        <v>73</v>
      </c>
      <c r="E427" t="s">
        <v>109</v>
      </c>
      <c r="F427" t="s">
        <v>46</v>
      </c>
      <c r="G427" t="s">
        <v>1562</v>
      </c>
      <c r="H427" t="s">
        <v>1563</v>
      </c>
      <c r="I427" t="s">
        <v>32</v>
      </c>
      <c r="J427" t="s">
        <v>33</v>
      </c>
    </row>
    <row r="428" spans="1:10" x14ac:dyDescent="0.35">
      <c r="A428" t="s">
        <v>1564</v>
      </c>
      <c r="B428" t="s">
        <v>1565</v>
      </c>
      <c r="C428" t="s">
        <v>67</v>
      </c>
      <c r="D428" t="s">
        <v>53</v>
      </c>
      <c r="E428" t="s">
        <v>24</v>
      </c>
      <c r="F428" t="s">
        <v>46</v>
      </c>
      <c r="G428" t="s">
        <v>1566</v>
      </c>
      <c r="H428" t="s">
        <v>1567</v>
      </c>
      <c r="I428" t="s">
        <v>18</v>
      </c>
      <c r="J428" t="s">
        <v>19</v>
      </c>
    </row>
    <row r="429" spans="1:10" x14ac:dyDescent="0.35">
      <c r="A429" t="s">
        <v>1568</v>
      </c>
      <c r="B429" t="s">
        <v>575</v>
      </c>
      <c r="C429" t="s">
        <v>72</v>
      </c>
      <c r="D429" t="s">
        <v>23</v>
      </c>
      <c r="E429" t="s">
        <v>134</v>
      </c>
      <c r="F429" t="s">
        <v>38</v>
      </c>
      <c r="G429" t="s">
        <v>1569</v>
      </c>
      <c r="H429" t="s">
        <v>1570</v>
      </c>
      <c r="I429" t="s">
        <v>49</v>
      </c>
      <c r="J429" t="s">
        <v>64</v>
      </c>
    </row>
    <row r="430" spans="1:10" x14ac:dyDescent="0.35">
      <c r="A430" t="s">
        <v>1571</v>
      </c>
      <c r="B430" t="s">
        <v>1292</v>
      </c>
      <c r="C430" t="s">
        <v>99</v>
      </c>
      <c r="D430" t="s">
        <v>73</v>
      </c>
      <c r="E430" t="s">
        <v>45</v>
      </c>
      <c r="F430" t="s">
        <v>74</v>
      </c>
      <c r="G430" t="s">
        <v>1572</v>
      </c>
      <c r="H430" t="s">
        <v>1573</v>
      </c>
      <c r="I430" t="s">
        <v>18</v>
      </c>
      <c r="J430" t="s">
        <v>19</v>
      </c>
    </row>
    <row r="431" spans="1:10" x14ac:dyDescent="0.35">
      <c r="A431" t="s">
        <v>1574</v>
      </c>
      <c r="B431" t="s">
        <v>1092</v>
      </c>
      <c r="C431" t="s">
        <v>72</v>
      </c>
      <c r="D431" t="s">
        <v>13</v>
      </c>
      <c r="E431" t="s">
        <v>134</v>
      </c>
      <c r="F431" t="s">
        <v>25</v>
      </c>
      <c r="G431" t="s">
        <v>1575</v>
      </c>
      <c r="H431" t="s">
        <v>1576</v>
      </c>
      <c r="I431" t="s">
        <v>49</v>
      </c>
      <c r="J431" t="s">
        <v>19</v>
      </c>
    </row>
    <row r="432" spans="1:10" x14ac:dyDescent="0.35">
      <c r="A432" t="s">
        <v>1577</v>
      </c>
      <c r="B432" t="s">
        <v>644</v>
      </c>
      <c r="C432" t="s">
        <v>12</v>
      </c>
      <c r="D432" t="s">
        <v>23</v>
      </c>
      <c r="E432" t="s">
        <v>37</v>
      </c>
      <c r="F432" t="s">
        <v>74</v>
      </c>
      <c r="G432" t="s">
        <v>1578</v>
      </c>
      <c r="H432" t="s">
        <v>1579</v>
      </c>
      <c r="I432" t="s">
        <v>32</v>
      </c>
      <c r="J432" t="s">
        <v>41</v>
      </c>
    </row>
    <row r="433" spans="1:10" x14ac:dyDescent="0.35">
      <c r="A433" t="s">
        <v>1580</v>
      </c>
      <c r="B433" t="s">
        <v>1581</v>
      </c>
      <c r="C433" t="s">
        <v>22</v>
      </c>
      <c r="D433" t="s">
        <v>36</v>
      </c>
      <c r="E433" t="s">
        <v>45</v>
      </c>
      <c r="F433" t="s">
        <v>79</v>
      </c>
      <c r="G433" t="s">
        <v>1582</v>
      </c>
      <c r="H433" t="s">
        <v>1583</v>
      </c>
      <c r="I433" t="s">
        <v>18</v>
      </c>
      <c r="J433" t="s">
        <v>33</v>
      </c>
    </row>
    <row r="434" spans="1:10" x14ac:dyDescent="0.35">
      <c r="A434" t="s">
        <v>1584</v>
      </c>
      <c r="B434" t="s">
        <v>1528</v>
      </c>
      <c r="C434" t="s">
        <v>52</v>
      </c>
      <c r="D434" t="s">
        <v>44</v>
      </c>
      <c r="E434" t="s">
        <v>134</v>
      </c>
      <c r="F434" t="s">
        <v>15</v>
      </c>
      <c r="G434" t="s">
        <v>1585</v>
      </c>
      <c r="H434" t="s">
        <v>1586</v>
      </c>
      <c r="I434" t="s">
        <v>49</v>
      </c>
      <c r="J434" t="s">
        <v>33</v>
      </c>
    </row>
    <row r="435" spans="1:10" x14ac:dyDescent="0.35">
      <c r="A435" t="s">
        <v>1587</v>
      </c>
      <c r="B435" t="s">
        <v>94</v>
      </c>
      <c r="C435" t="s">
        <v>67</v>
      </c>
      <c r="D435" t="s">
        <v>53</v>
      </c>
      <c r="E435" t="s">
        <v>37</v>
      </c>
      <c r="F435" t="s">
        <v>15</v>
      </c>
      <c r="G435" t="s">
        <v>1588</v>
      </c>
      <c r="H435" t="s">
        <v>1589</v>
      </c>
      <c r="I435" t="s">
        <v>32</v>
      </c>
      <c r="J435" t="s">
        <v>41</v>
      </c>
    </row>
    <row r="436" spans="1:10" x14ac:dyDescent="0.35">
      <c r="A436" t="s">
        <v>1590</v>
      </c>
      <c r="B436" t="s">
        <v>1591</v>
      </c>
      <c r="C436" t="s">
        <v>12</v>
      </c>
      <c r="D436" t="s">
        <v>36</v>
      </c>
      <c r="E436" t="s">
        <v>134</v>
      </c>
      <c r="F436" t="s">
        <v>15</v>
      </c>
      <c r="G436" t="s">
        <v>1592</v>
      </c>
      <c r="H436" t="s">
        <v>1593</v>
      </c>
      <c r="I436" t="s">
        <v>32</v>
      </c>
      <c r="J436" t="s">
        <v>41</v>
      </c>
    </row>
    <row r="437" spans="1:10" x14ac:dyDescent="0.35">
      <c r="A437" t="s">
        <v>1594</v>
      </c>
      <c r="B437" t="s">
        <v>1595</v>
      </c>
      <c r="C437" t="s">
        <v>99</v>
      </c>
      <c r="D437" t="s">
        <v>13</v>
      </c>
      <c r="E437" t="s">
        <v>109</v>
      </c>
      <c r="F437" t="s">
        <v>74</v>
      </c>
      <c r="G437" t="s">
        <v>1596</v>
      </c>
      <c r="H437" t="s">
        <v>1597</v>
      </c>
      <c r="I437" t="s">
        <v>32</v>
      </c>
      <c r="J437" t="s">
        <v>19</v>
      </c>
    </row>
    <row r="438" spans="1:10" x14ac:dyDescent="0.35">
      <c r="A438" t="s">
        <v>1598</v>
      </c>
      <c r="B438" t="s">
        <v>83</v>
      </c>
      <c r="C438" t="s">
        <v>72</v>
      </c>
      <c r="D438" t="s">
        <v>53</v>
      </c>
      <c r="E438" t="s">
        <v>45</v>
      </c>
      <c r="F438" t="s">
        <v>79</v>
      </c>
      <c r="G438" t="s">
        <v>1599</v>
      </c>
      <c r="H438" t="s">
        <v>1600</v>
      </c>
      <c r="I438" t="s">
        <v>49</v>
      </c>
      <c r="J438" t="s">
        <v>64</v>
      </c>
    </row>
    <row r="439" spans="1:10" x14ac:dyDescent="0.35">
      <c r="A439" t="s">
        <v>1601</v>
      </c>
      <c r="B439" t="s">
        <v>1602</v>
      </c>
      <c r="C439" t="s">
        <v>52</v>
      </c>
      <c r="D439" t="s">
        <v>36</v>
      </c>
      <c r="E439" t="s">
        <v>109</v>
      </c>
      <c r="F439" t="s">
        <v>74</v>
      </c>
      <c r="G439" t="s">
        <v>1603</v>
      </c>
      <c r="H439" t="s">
        <v>1604</v>
      </c>
      <c r="I439" t="s">
        <v>32</v>
      </c>
      <c r="J439" t="s">
        <v>41</v>
      </c>
    </row>
    <row r="440" spans="1:10" x14ac:dyDescent="0.35">
      <c r="A440" t="s">
        <v>1605</v>
      </c>
      <c r="B440" t="s">
        <v>575</v>
      </c>
      <c r="C440" t="s">
        <v>99</v>
      </c>
      <c r="D440" t="s">
        <v>13</v>
      </c>
      <c r="E440" t="s">
        <v>14</v>
      </c>
      <c r="F440" t="s">
        <v>46</v>
      </c>
      <c r="G440" t="s">
        <v>1606</v>
      </c>
      <c r="H440" t="s">
        <v>1607</v>
      </c>
      <c r="I440" t="s">
        <v>49</v>
      </c>
      <c r="J440" t="s">
        <v>64</v>
      </c>
    </row>
    <row r="441" spans="1:10" x14ac:dyDescent="0.35">
      <c r="A441" t="s">
        <v>1608</v>
      </c>
      <c r="B441" t="s">
        <v>209</v>
      </c>
      <c r="C441" t="s">
        <v>22</v>
      </c>
      <c r="D441" t="s">
        <v>44</v>
      </c>
      <c r="E441" t="s">
        <v>109</v>
      </c>
      <c r="F441" t="s">
        <v>25</v>
      </c>
      <c r="G441" t="s">
        <v>1609</v>
      </c>
      <c r="H441" t="s">
        <v>1610</v>
      </c>
      <c r="I441" t="s">
        <v>18</v>
      </c>
      <c r="J441" t="s">
        <v>64</v>
      </c>
    </row>
    <row r="442" spans="1:10" x14ac:dyDescent="0.35">
      <c r="A442" t="s">
        <v>1611</v>
      </c>
      <c r="B442" t="s">
        <v>1279</v>
      </c>
      <c r="C442" t="s">
        <v>108</v>
      </c>
      <c r="D442" t="s">
        <v>13</v>
      </c>
      <c r="E442" t="s">
        <v>109</v>
      </c>
      <c r="F442" t="s">
        <v>38</v>
      </c>
      <c r="G442" t="s">
        <v>1612</v>
      </c>
      <c r="H442" t="s">
        <v>1613</v>
      </c>
      <c r="I442" t="s">
        <v>49</v>
      </c>
      <c r="J442" t="s">
        <v>19</v>
      </c>
    </row>
    <row r="443" spans="1:10" x14ac:dyDescent="0.35">
      <c r="A443" t="s">
        <v>1614</v>
      </c>
      <c r="B443" t="s">
        <v>998</v>
      </c>
      <c r="C443" t="s">
        <v>52</v>
      </c>
      <c r="D443" t="s">
        <v>36</v>
      </c>
      <c r="E443" t="s">
        <v>14</v>
      </c>
      <c r="F443" t="s">
        <v>15</v>
      </c>
      <c r="G443" t="s">
        <v>1615</v>
      </c>
      <c r="H443" t="s">
        <v>1616</v>
      </c>
      <c r="I443" t="s">
        <v>49</v>
      </c>
      <c r="J443" t="s">
        <v>41</v>
      </c>
    </row>
    <row r="444" spans="1:10" x14ac:dyDescent="0.35">
      <c r="A444" t="s">
        <v>1617</v>
      </c>
      <c r="B444" t="s">
        <v>1618</v>
      </c>
      <c r="C444" t="s">
        <v>52</v>
      </c>
      <c r="D444" t="s">
        <v>13</v>
      </c>
      <c r="E444" t="s">
        <v>37</v>
      </c>
      <c r="F444" t="s">
        <v>15</v>
      </c>
      <c r="G444" t="s">
        <v>1619</v>
      </c>
      <c r="H444" t="s">
        <v>1620</v>
      </c>
      <c r="I444" t="s">
        <v>49</v>
      </c>
      <c r="J444" t="s">
        <v>33</v>
      </c>
    </row>
    <row r="445" spans="1:10" x14ac:dyDescent="0.35">
      <c r="A445" t="s">
        <v>1621</v>
      </c>
      <c r="B445" t="s">
        <v>827</v>
      </c>
      <c r="C445" t="s">
        <v>22</v>
      </c>
      <c r="D445" t="s">
        <v>13</v>
      </c>
      <c r="E445" t="s">
        <v>134</v>
      </c>
      <c r="F445" t="s">
        <v>38</v>
      </c>
      <c r="G445" t="s">
        <v>1622</v>
      </c>
      <c r="H445" t="s">
        <v>1623</v>
      </c>
      <c r="I445" t="s">
        <v>49</v>
      </c>
      <c r="J445" t="s">
        <v>33</v>
      </c>
    </row>
    <row r="446" spans="1:10" x14ac:dyDescent="0.35">
      <c r="A446" t="s">
        <v>1624</v>
      </c>
      <c r="B446" t="s">
        <v>35</v>
      </c>
      <c r="C446" t="s">
        <v>22</v>
      </c>
      <c r="D446" t="s">
        <v>73</v>
      </c>
      <c r="E446" t="s">
        <v>14</v>
      </c>
      <c r="F446" t="s">
        <v>74</v>
      </c>
      <c r="G446" t="s">
        <v>1625</v>
      </c>
      <c r="H446" t="s">
        <v>1626</v>
      </c>
      <c r="I446" t="s">
        <v>18</v>
      </c>
      <c r="J446" t="s">
        <v>19</v>
      </c>
    </row>
    <row r="447" spans="1:10" x14ac:dyDescent="0.35">
      <c r="A447" t="s">
        <v>1627</v>
      </c>
      <c r="B447" t="s">
        <v>294</v>
      </c>
      <c r="C447" t="s">
        <v>99</v>
      </c>
      <c r="D447" t="s">
        <v>53</v>
      </c>
      <c r="E447" t="s">
        <v>109</v>
      </c>
      <c r="F447" t="s">
        <v>38</v>
      </c>
      <c r="G447" t="s">
        <v>1628</v>
      </c>
      <c r="H447" t="s">
        <v>1629</v>
      </c>
      <c r="I447" t="s">
        <v>32</v>
      </c>
      <c r="J447" t="s">
        <v>19</v>
      </c>
    </row>
    <row r="448" spans="1:10" x14ac:dyDescent="0.35">
      <c r="A448" t="s">
        <v>1630</v>
      </c>
      <c r="B448" t="s">
        <v>1170</v>
      </c>
      <c r="C448" t="s">
        <v>22</v>
      </c>
      <c r="D448" t="s">
        <v>44</v>
      </c>
      <c r="E448" t="s">
        <v>24</v>
      </c>
      <c r="F448" t="s">
        <v>79</v>
      </c>
      <c r="G448" t="s">
        <v>1631</v>
      </c>
      <c r="H448" t="s">
        <v>1632</v>
      </c>
      <c r="I448" t="s">
        <v>49</v>
      </c>
      <c r="J448" t="s">
        <v>33</v>
      </c>
    </row>
    <row r="449" spans="1:10" x14ac:dyDescent="0.35">
      <c r="A449" t="s">
        <v>1633</v>
      </c>
      <c r="B449" t="s">
        <v>241</v>
      </c>
      <c r="C449" t="s">
        <v>12</v>
      </c>
      <c r="D449" t="s">
        <v>13</v>
      </c>
      <c r="E449" t="s">
        <v>45</v>
      </c>
      <c r="F449" t="s">
        <v>79</v>
      </c>
      <c r="G449" t="s">
        <v>1634</v>
      </c>
      <c r="H449" t="s">
        <v>1635</v>
      </c>
      <c r="I449" t="s">
        <v>49</v>
      </c>
      <c r="J449" t="s">
        <v>33</v>
      </c>
    </row>
    <row r="450" spans="1:10" x14ac:dyDescent="0.35">
      <c r="A450" t="s">
        <v>1636</v>
      </c>
      <c r="B450" t="s">
        <v>1637</v>
      </c>
      <c r="C450" t="s">
        <v>52</v>
      </c>
      <c r="D450" t="s">
        <v>36</v>
      </c>
      <c r="E450" t="s">
        <v>45</v>
      </c>
      <c r="F450" t="s">
        <v>25</v>
      </c>
      <c r="G450" t="s">
        <v>1638</v>
      </c>
      <c r="H450" t="s">
        <v>1639</v>
      </c>
      <c r="I450" t="s">
        <v>18</v>
      </c>
      <c r="J450" t="s">
        <v>19</v>
      </c>
    </row>
    <row r="451" spans="1:10" x14ac:dyDescent="0.35">
      <c r="A451" t="s">
        <v>1640</v>
      </c>
      <c r="B451" t="s">
        <v>1292</v>
      </c>
      <c r="C451" t="s">
        <v>22</v>
      </c>
      <c r="D451" t="s">
        <v>13</v>
      </c>
      <c r="E451" t="s">
        <v>109</v>
      </c>
      <c r="F451" t="s">
        <v>25</v>
      </c>
      <c r="G451" t="s">
        <v>1641</v>
      </c>
      <c r="H451" t="s">
        <v>1642</v>
      </c>
      <c r="I451" t="s">
        <v>32</v>
      </c>
      <c r="J451" t="s">
        <v>33</v>
      </c>
    </row>
    <row r="452" spans="1:10" x14ac:dyDescent="0.35">
      <c r="A452" t="s">
        <v>1643</v>
      </c>
      <c r="B452" t="s">
        <v>1644</v>
      </c>
      <c r="C452" t="s">
        <v>22</v>
      </c>
      <c r="D452" t="s">
        <v>23</v>
      </c>
      <c r="E452" t="s">
        <v>24</v>
      </c>
      <c r="F452" t="s">
        <v>15</v>
      </c>
      <c r="G452" t="s">
        <v>1645</v>
      </c>
      <c r="H452" t="s">
        <v>1646</v>
      </c>
      <c r="I452" t="s">
        <v>32</v>
      </c>
      <c r="J452" t="s">
        <v>64</v>
      </c>
    </row>
    <row r="453" spans="1:10" x14ac:dyDescent="0.35">
      <c r="A453" t="s">
        <v>1647</v>
      </c>
      <c r="B453" t="s">
        <v>809</v>
      </c>
      <c r="C453" t="s">
        <v>108</v>
      </c>
      <c r="D453" t="s">
        <v>36</v>
      </c>
      <c r="E453" t="s">
        <v>37</v>
      </c>
      <c r="F453" t="s">
        <v>46</v>
      </c>
      <c r="G453" t="s">
        <v>1648</v>
      </c>
      <c r="H453" t="s">
        <v>1649</v>
      </c>
      <c r="I453" t="s">
        <v>18</v>
      </c>
      <c r="J453" t="s">
        <v>41</v>
      </c>
    </row>
    <row r="454" spans="1:10" x14ac:dyDescent="0.35">
      <c r="A454" t="s">
        <v>1650</v>
      </c>
      <c r="B454" t="s">
        <v>1651</v>
      </c>
      <c r="C454" t="s">
        <v>12</v>
      </c>
      <c r="D454" t="s">
        <v>53</v>
      </c>
      <c r="E454" t="s">
        <v>37</v>
      </c>
      <c r="F454" t="s">
        <v>46</v>
      </c>
      <c r="G454" t="s">
        <v>1652</v>
      </c>
      <c r="H454" t="s">
        <v>1653</v>
      </c>
      <c r="I454" t="s">
        <v>49</v>
      </c>
      <c r="J454" t="s">
        <v>64</v>
      </c>
    </row>
    <row r="455" spans="1:10" x14ac:dyDescent="0.35">
      <c r="A455" t="s">
        <v>1654</v>
      </c>
      <c r="B455" t="s">
        <v>1655</v>
      </c>
      <c r="C455" t="s">
        <v>67</v>
      </c>
      <c r="D455" t="s">
        <v>53</v>
      </c>
      <c r="E455" t="s">
        <v>134</v>
      </c>
      <c r="F455" t="s">
        <v>25</v>
      </c>
      <c r="G455" t="s">
        <v>1656</v>
      </c>
      <c r="H455" t="s">
        <v>1657</v>
      </c>
      <c r="I455" t="s">
        <v>18</v>
      </c>
      <c r="J455" t="s">
        <v>19</v>
      </c>
    </row>
    <row r="456" spans="1:10" x14ac:dyDescent="0.35">
      <c r="A456" t="s">
        <v>1658</v>
      </c>
      <c r="B456" t="s">
        <v>233</v>
      </c>
      <c r="C456" t="s">
        <v>52</v>
      </c>
      <c r="D456" t="s">
        <v>53</v>
      </c>
      <c r="E456" t="s">
        <v>14</v>
      </c>
      <c r="F456" t="s">
        <v>15</v>
      </c>
      <c r="G456" t="s">
        <v>1659</v>
      </c>
      <c r="H456" t="s">
        <v>1660</v>
      </c>
      <c r="I456" t="s">
        <v>32</v>
      </c>
      <c r="J456" t="s">
        <v>33</v>
      </c>
    </row>
    <row r="457" spans="1:10" x14ac:dyDescent="0.35">
      <c r="A457" t="s">
        <v>1661</v>
      </c>
      <c r="B457" t="s">
        <v>133</v>
      </c>
      <c r="C457" t="s">
        <v>108</v>
      </c>
      <c r="D457" t="s">
        <v>73</v>
      </c>
      <c r="E457" t="s">
        <v>14</v>
      </c>
      <c r="F457" t="s">
        <v>38</v>
      </c>
      <c r="G457" t="s">
        <v>1662</v>
      </c>
      <c r="H457" t="s">
        <v>1663</v>
      </c>
      <c r="I457" t="s">
        <v>18</v>
      </c>
      <c r="J457" t="s">
        <v>64</v>
      </c>
    </row>
    <row r="458" spans="1:10" x14ac:dyDescent="0.35">
      <c r="A458" t="s">
        <v>1664</v>
      </c>
      <c r="B458" t="s">
        <v>813</v>
      </c>
      <c r="C458" t="s">
        <v>108</v>
      </c>
      <c r="D458" t="s">
        <v>36</v>
      </c>
      <c r="E458" t="s">
        <v>24</v>
      </c>
      <c r="F458" t="s">
        <v>25</v>
      </c>
      <c r="G458" t="s">
        <v>1665</v>
      </c>
      <c r="H458" t="s">
        <v>1666</v>
      </c>
      <c r="I458" t="s">
        <v>32</v>
      </c>
      <c r="J458" t="s">
        <v>33</v>
      </c>
    </row>
    <row r="459" spans="1:10" x14ac:dyDescent="0.35">
      <c r="A459" t="s">
        <v>1667</v>
      </c>
      <c r="B459" t="s">
        <v>1429</v>
      </c>
      <c r="C459" t="s">
        <v>22</v>
      </c>
      <c r="D459" t="s">
        <v>13</v>
      </c>
      <c r="E459" t="s">
        <v>45</v>
      </c>
      <c r="F459" t="s">
        <v>15</v>
      </c>
      <c r="G459" t="s">
        <v>1668</v>
      </c>
      <c r="H459" t="s">
        <v>1669</v>
      </c>
      <c r="I459" t="s">
        <v>18</v>
      </c>
      <c r="J459" t="s">
        <v>33</v>
      </c>
    </row>
    <row r="460" spans="1:10" x14ac:dyDescent="0.35">
      <c r="A460" t="s">
        <v>1670</v>
      </c>
      <c r="B460" t="s">
        <v>1655</v>
      </c>
      <c r="C460" t="s">
        <v>22</v>
      </c>
      <c r="D460" t="s">
        <v>44</v>
      </c>
      <c r="E460" t="s">
        <v>24</v>
      </c>
      <c r="F460" t="s">
        <v>74</v>
      </c>
      <c r="G460" t="s">
        <v>1671</v>
      </c>
      <c r="H460" t="s">
        <v>1672</v>
      </c>
      <c r="I460" t="s">
        <v>49</v>
      </c>
      <c r="J460" t="s">
        <v>41</v>
      </c>
    </row>
    <row r="461" spans="1:10" x14ac:dyDescent="0.35">
      <c r="A461" t="s">
        <v>1673</v>
      </c>
      <c r="B461" t="s">
        <v>915</v>
      </c>
      <c r="C461" t="s">
        <v>72</v>
      </c>
      <c r="D461" t="s">
        <v>36</v>
      </c>
      <c r="E461" t="s">
        <v>109</v>
      </c>
      <c r="F461" t="s">
        <v>15</v>
      </c>
      <c r="G461" t="s">
        <v>1674</v>
      </c>
      <c r="H461" t="s">
        <v>1675</v>
      </c>
      <c r="I461" t="s">
        <v>49</v>
      </c>
      <c r="J461" t="s">
        <v>19</v>
      </c>
    </row>
    <row r="462" spans="1:10" x14ac:dyDescent="0.35">
      <c r="A462" t="s">
        <v>1676</v>
      </c>
      <c r="B462" t="s">
        <v>583</v>
      </c>
      <c r="C462" t="s">
        <v>52</v>
      </c>
      <c r="D462" t="s">
        <v>36</v>
      </c>
      <c r="E462" t="s">
        <v>24</v>
      </c>
      <c r="F462" t="s">
        <v>15</v>
      </c>
      <c r="G462" t="s">
        <v>1677</v>
      </c>
      <c r="H462" t="s">
        <v>1678</v>
      </c>
      <c r="I462" t="s">
        <v>32</v>
      </c>
      <c r="J462" t="s">
        <v>41</v>
      </c>
    </row>
    <row r="463" spans="1:10" x14ac:dyDescent="0.35">
      <c r="A463" t="s">
        <v>1679</v>
      </c>
      <c r="B463" t="s">
        <v>508</v>
      </c>
      <c r="C463" t="s">
        <v>52</v>
      </c>
      <c r="D463" t="s">
        <v>36</v>
      </c>
      <c r="E463" t="s">
        <v>24</v>
      </c>
      <c r="F463" t="s">
        <v>46</v>
      </c>
      <c r="G463" t="s">
        <v>1680</v>
      </c>
      <c r="H463" t="s">
        <v>1681</v>
      </c>
      <c r="I463" t="s">
        <v>18</v>
      </c>
      <c r="J463" t="s">
        <v>41</v>
      </c>
    </row>
    <row r="464" spans="1:10" x14ac:dyDescent="0.35">
      <c r="A464" t="s">
        <v>1682</v>
      </c>
      <c r="B464" t="s">
        <v>43</v>
      </c>
      <c r="C464" t="s">
        <v>99</v>
      </c>
      <c r="D464" t="s">
        <v>73</v>
      </c>
      <c r="E464" t="s">
        <v>109</v>
      </c>
      <c r="F464" t="s">
        <v>15</v>
      </c>
      <c r="G464" t="s">
        <v>1683</v>
      </c>
      <c r="H464" t="s">
        <v>1684</v>
      </c>
      <c r="I464" t="s">
        <v>18</v>
      </c>
      <c r="J464" t="s">
        <v>33</v>
      </c>
    </row>
    <row r="465" spans="1:10" x14ac:dyDescent="0.35">
      <c r="A465" t="s">
        <v>1685</v>
      </c>
      <c r="B465" t="s">
        <v>1686</v>
      </c>
      <c r="C465" t="s">
        <v>22</v>
      </c>
      <c r="D465" t="s">
        <v>36</v>
      </c>
      <c r="E465" t="s">
        <v>14</v>
      </c>
      <c r="F465" t="s">
        <v>15</v>
      </c>
      <c r="G465" t="s">
        <v>1687</v>
      </c>
      <c r="H465" t="s">
        <v>1688</v>
      </c>
      <c r="I465" t="s">
        <v>32</v>
      </c>
      <c r="J465" t="s">
        <v>41</v>
      </c>
    </row>
    <row r="466" spans="1:10" x14ac:dyDescent="0.35">
      <c r="A466" t="s">
        <v>1689</v>
      </c>
      <c r="B466" t="s">
        <v>827</v>
      </c>
      <c r="C466" t="s">
        <v>99</v>
      </c>
      <c r="D466" t="s">
        <v>13</v>
      </c>
      <c r="E466" t="s">
        <v>24</v>
      </c>
      <c r="F466" t="s">
        <v>25</v>
      </c>
      <c r="G466" t="s">
        <v>1690</v>
      </c>
      <c r="H466" t="s">
        <v>1691</v>
      </c>
      <c r="I466" t="s">
        <v>18</v>
      </c>
      <c r="J466" t="s">
        <v>41</v>
      </c>
    </row>
    <row r="467" spans="1:10" x14ac:dyDescent="0.35">
      <c r="A467" t="s">
        <v>1692</v>
      </c>
      <c r="B467" t="s">
        <v>1693</v>
      </c>
      <c r="C467" t="s">
        <v>67</v>
      </c>
      <c r="D467" t="s">
        <v>23</v>
      </c>
      <c r="E467" t="s">
        <v>109</v>
      </c>
      <c r="F467" t="s">
        <v>38</v>
      </c>
      <c r="G467" t="s">
        <v>1694</v>
      </c>
      <c r="H467" t="s">
        <v>1695</v>
      </c>
      <c r="I467" t="s">
        <v>18</v>
      </c>
      <c r="J467" t="s">
        <v>19</v>
      </c>
    </row>
    <row r="468" spans="1:10" x14ac:dyDescent="0.35">
      <c r="A468" t="s">
        <v>1696</v>
      </c>
      <c r="B468" t="s">
        <v>450</v>
      </c>
      <c r="C468" t="s">
        <v>12</v>
      </c>
      <c r="D468" t="s">
        <v>73</v>
      </c>
      <c r="E468" t="s">
        <v>109</v>
      </c>
      <c r="F468" t="s">
        <v>79</v>
      </c>
      <c r="G468" t="s">
        <v>1697</v>
      </c>
      <c r="H468" t="s">
        <v>1698</v>
      </c>
      <c r="I468" t="s">
        <v>18</v>
      </c>
      <c r="J468" t="s">
        <v>64</v>
      </c>
    </row>
    <row r="469" spans="1:10" x14ac:dyDescent="0.35">
      <c r="A469" t="s">
        <v>1699</v>
      </c>
      <c r="B469" t="s">
        <v>1145</v>
      </c>
      <c r="C469" t="s">
        <v>99</v>
      </c>
      <c r="D469" t="s">
        <v>36</v>
      </c>
      <c r="E469" t="s">
        <v>134</v>
      </c>
      <c r="F469" t="s">
        <v>46</v>
      </c>
      <c r="G469" t="s">
        <v>1700</v>
      </c>
      <c r="H469" t="s">
        <v>1701</v>
      </c>
      <c r="I469" t="s">
        <v>32</v>
      </c>
      <c r="J469" t="s">
        <v>41</v>
      </c>
    </row>
    <row r="470" spans="1:10" x14ac:dyDescent="0.35">
      <c r="A470" t="s">
        <v>1702</v>
      </c>
      <c r="B470" t="s">
        <v>557</v>
      </c>
      <c r="C470" t="s">
        <v>108</v>
      </c>
      <c r="D470" t="s">
        <v>53</v>
      </c>
      <c r="E470" t="s">
        <v>109</v>
      </c>
      <c r="F470" t="s">
        <v>15</v>
      </c>
      <c r="G470" t="s">
        <v>1703</v>
      </c>
      <c r="H470" t="s">
        <v>1704</v>
      </c>
      <c r="I470" t="s">
        <v>49</v>
      </c>
      <c r="J470" t="s">
        <v>64</v>
      </c>
    </row>
    <row r="471" spans="1:10" x14ac:dyDescent="0.35">
      <c r="A471" t="s">
        <v>1705</v>
      </c>
      <c r="B471" t="s">
        <v>973</v>
      </c>
      <c r="C471" t="s">
        <v>52</v>
      </c>
      <c r="D471" t="s">
        <v>13</v>
      </c>
      <c r="E471" t="s">
        <v>109</v>
      </c>
      <c r="F471" t="s">
        <v>46</v>
      </c>
      <c r="G471" t="s">
        <v>1706</v>
      </c>
      <c r="H471" t="s">
        <v>1707</v>
      </c>
      <c r="I471" t="s">
        <v>32</v>
      </c>
      <c r="J471" t="s">
        <v>33</v>
      </c>
    </row>
    <row r="472" spans="1:10" x14ac:dyDescent="0.35">
      <c r="A472" t="s">
        <v>1708</v>
      </c>
      <c r="B472" t="s">
        <v>461</v>
      </c>
      <c r="C472" t="s">
        <v>67</v>
      </c>
      <c r="D472" t="s">
        <v>36</v>
      </c>
      <c r="E472" t="s">
        <v>24</v>
      </c>
      <c r="F472" t="s">
        <v>38</v>
      </c>
      <c r="G472" t="s">
        <v>1709</v>
      </c>
      <c r="H472" t="s">
        <v>1710</v>
      </c>
      <c r="I472" t="s">
        <v>18</v>
      </c>
      <c r="J472" t="s">
        <v>41</v>
      </c>
    </row>
    <row r="473" spans="1:10" x14ac:dyDescent="0.35">
      <c r="A473" t="s">
        <v>1711</v>
      </c>
      <c r="B473" t="s">
        <v>1712</v>
      </c>
      <c r="C473" t="s">
        <v>108</v>
      </c>
      <c r="D473" t="s">
        <v>73</v>
      </c>
      <c r="E473" t="s">
        <v>45</v>
      </c>
      <c r="F473" t="s">
        <v>74</v>
      </c>
      <c r="G473" t="s">
        <v>1713</v>
      </c>
      <c r="H473" t="s">
        <v>1714</v>
      </c>
      <c r="I473" t="s">
        <v>18</v>
      </c>
      <c r="J473" t="s">
        <v>64</v>
      </c>
    </row>
    <row r="474" spans="1:10" x14ac:dyDescent="0.35">
      <c r="A474" t="s">
        <v>1715</v>
      </c>
      <c r="B474" t="s">
        <v>1637</v>
      </c>
      <c r="C474" t="s">
        <v>99</v>
      </c>
      <c r="D474" t="s">
        <v>23</v>
      </c>
      <c r="E474" t="s">
        <v>109</v>
      </c>
      <c r="F474" t="s">
        <v>46</v>
      </c>
      <c r="G474" t="s">
        <v>1716</v>
      </c>
      <c r="H474" t="s">
        <v>1717</v>
      </c>
      <c r="I474" t="s">
        <v>18</v>
      </c>
      <c r="J474" t="s">
        <v>33</v>
      </c>
    </row>
    <row r="475" spans="1:10" x14ac:dyDescent="0.35">
      <c r="A475" t="s">
        <v>1718</v>
      </c>
      <c r="B475" t="s">
        <v>1130</v>
      </c>
      <c r="C475" t="s">
        <v>52</v>
      </c>
      <c r="D475" t="s">
        <v>36</v>
      </c>
      <c r="E475" t="s">
        <v>37</v>
      </c>
      <c r="F475" t="s">
        <v>74</v>
      </c>
      <c r="G475" t="s">
        <v>1719</v>
      </c>
      <c r="H475" t="s">
        <v>1720</v>
      </c>
      <c r="I475" t="s">
        <v>32</v>
      </c>
      <c r="J475" t="s">
        <v>64</v>
      </c>
    </row>
    <row r="476" spans="1:10" x14ac:dyDescent="0.35">
      <c r="A476" t="s">
        <v>1721</v>
      </c>
      <c r="B476" t="s">
        <v>644</v>
      </c>
      <c r="C476" t="s">
        <v>22</v>
      </c>
      <c r="D476" t="s">
        <v>73</v>
      </c>
      <c r="E476" t="s">
        <v>37</v>
      </c>
      <c r="F476" t="s">
        <v>74</v>
      </c>
      <c r="G476" t="s">
        <v>1722</v>
      </c>
      <c r="H476" t="s">
        <v>1723</v>
      </c>
      <c r="I476" t="s">
        <v>49</v>
      </c>
      <c r="J476" t="s">
        <v>33</v>
      </c>
    </row>
    <row r="477" spans="1:10" x14ac:dyDescent="0.35">
      <c r="A477" t="s">
        <v>1724</v>
      </c>
      <c r="B477" t="s">
        <v>1725</v>
      </c>
      <c r="C477" t="s">
        <v>108</v>
      </c>
      <c r="D477" t="s">
        <v>23</v>
      </c>
      <c r="E477" t="s">
        <v>45</v>
      </c>
      <c r="F477" t="s">
        <v>38</v>
      </c>
      <c r="G477" t="s">
        <v>1726</v>
      </c>
      <c r="H477" t="s">
        <v>1727</v>
      </c>
      <c r="I477" t="s">
        <v>18</v>
      </c>
      <c r="J477" t="s">
        <v>41</v>
      </c>
    </row>
    <row r="478" spans="1:10" x14ac:dyDescent="0.35">
      <c r="A478" t="s">
        <v>1728</v>
      </c>
      <c r="B478" t="s">
        <v>729</v>
      </c>
      <c r="C478" t="s">
        <v>72</v>
      </c>
      <c r="D478" t="s">
        <v>36</v>
      </c>
      <c r="E478" t="s">
        <v>45</v>
      </c>
      <c r="F478" t="s">
        <v>46</v>
      </c>
      <c r="G478" t="s">
        <v>1729</v>
      </c>
      <c r="H478" t="s">
        <v>1730</v>
      </c>
      <c r="I478" t="s">
        <v>32</v>
      </c>
      <c r="J478" t="s">
        <v>33</v>
      </c>
    </row>
    <row r="479" spans="1:10" x14ac:dyDescent="0.35">
      <c r="A479" t="s">
        <v>1731</v>
      </c>
      <c r="B479" t="s">
        <v>1130</v>
      </c>
      <c r="C479" t="s">
        <v>99</v>
      </c>
      <c r="D479" t="s">
        <v>73</v>
      </c>
      <c r="E479" t="s">
        <v>37</v>
      </c>
      <c r="F479" t="s">
        <v>15</v>
      </c>
      <c r="G479" t="s">
        <v>1732</v>
      </c>
      <c r="H479" t="s">
        <v>1733</v>
      </c>
      <c r="I479" t="s">
        <v>32</v>
      </c>
      <c r="J479" t="s">
        <v>64</v>
      </c>
    </row>
    <row r="480" spans="1:10" x14ac:dyDescent="0.35">
      <c r="A480" t="s">
        <v>1734</v>
      </c>
      <c r="B480" t="s">
        <v>1735</v>
      </c>
      <c r="C480" t="s">
        <v>52</v>
      </c>
      <c r="D480" t="s">
        <v>23</v>
      </c>
      <c r="E480" t="s">
        <v>37</v>
      </c>
      <c r="F480" t="s">
        <v>25</v>
      </c>
      <c r="G480" t="s">
        <v>1736</v>
      </c>
      <c r="H480" t="s">
        <v>1737</v>
      </c>
      <c r="I480" t="s">
        <v>32</v>
      </c>
      <c r="J480" t="s">
        <v>33</v>
      </c>
    </row>
    <row r="481" spans="1:10" x14ac:dyDescent="0.35">
      <c r="A481" t="s">
        <v>1738</v>
      </c>
      <c r="B481" t="s">
        <v>1739</v>
      </c>
      <c r="C481" t="s">
        <v>22</v>
      </c>
      <c r="D481" t="s">
        <v>53</v>
      </c>
      <c r="E481" t="s">
        <v>37</v>
      </c>
      <c r="F481" t="s">
        <v>79</v>
      </c>
      <c r="G481" t="s">
        <v>1740</v>
      </c>
      <c r="H481" t="s">
        <v>1741</v>
      </c>
      <c r="I481" t="s">
        <v>18</v>
      </c>
      <c r="J481" t="s">
        <v>41</v>
      </c>
    </row>
    <row r="482" spans="1:10" x14ac:dyDescent="0.35">
      <c r="A482" t="s">
        <v>1742</v>
      </c>
      <c r="B482" t="s">
        <v>1743</v>
      </c>
      <c r="C482" t="s">
        <v>67</v>
      </c>
      <c r="D482" t="s">
        <v>53</v>
      </c>
      <c r="E482" t="s">
        <v>45</v>
      </c>
      <c r="F482" t="s">
        <v>46</v>
      </c>
      <c r="G482" t="s">
        <v>1744</v>
      </c>
      <c r="H482" t="s">
        <v>1745</v>
      </c>
      <c r="I482" t="s">
        <v>32</v>
      </c>
      <c r="J482" t="s">
        <v>64</v>
      </c>
    </row>
    <row r="483" spans="1:10" x14ac:dyDescent="0.35">
      <c r="A483" t="s">
        <v>1746</v>
      </c>
      <c r="B483" t="s">
        <v>245</v>
      </c>
      <c r="C483" t="s">
        <v>99</v>
      </c>
      <c r="D483" t="s">
        <v>73</v>
      </c>
      <c r="E483" t="s">
        <v>109</v>
      </c>
      <c r="F483" t="s">
        <v>25</v>
      </c>
      <c r="G483" t="s">
        <v>1747</v>
      </c>
      <c r="H483" t="s">
        <v>1748</v>
      </c>
      <c r="I483" t="s">
        <v>49</v>
      </c>
      <c r="J483" t="s">
        <v>41</v>
      </c>
    </row>
    <row r="484" spans="1:10" x14ac:dyDescent="0.35">
      <c r="A484" t="s">
        <v>1749</v>
      </c>
      <c r="B484" t="s">
        <v>442</v>
      </c>
      <c r="C484" t="s">
        <v>99</v>
      </c>
      <c r="D484" t="s">
        <v>44</v>
      </c>
      <c r="E484" t="s">
        <v>24</v>
      </c>
      <c r="F484" t="s">
        <v>25</v>
      </c>
      <c r="G484" t="s">
        <v>1750</v>
      </c>
      <c r="H484" t="s">
        <v>1751</v>
      </c>
      <c r="I484" t="s">
        <v>32</v>
      </c>
      <c r="J484" t="s">
        <v>33</v>
      </c>
    </row>
    <row r="485" spans="1:10" x14ac:dyDescent="0.35">
      <c r="A485" t="s">
        <v>1752</v>
      </c>
      <c r="B485" t="s">
        <v>1753</v>
      </c>
      <c r="C485" t="s">
        <v>99</v>
      </c>
      <c r="D485" t="s">
        <v>73</v>
      </c>
      <c r="E485" t="s">
        <v>37</v>
      </c>
      <c r="F485" t="s">
        <v>74</v>
      </c>
      <c r="G485" t="s">
        <v>1754</v>
      </c>
      <c r="H485" t="s">
        <v>1755</v>
      </c>
      <c r="I485" t="s">
        <v>18</v>
      </c>
      <c r="J485" t="s">
        <v>19</v>
      </c>
    </row>
    <row r="486" spans="1:10" x14ac:dyDescent="0.35">
      <c r="A486" t="s">
        <v>1756</v>
      </c>
      <c r="B486" t="s">
        <v>1019</v>
      </c>
      <c r="C486" t="s">
        <v>72</v>
      </c>
      <c r="D486" t="s">
        <v>73</v>
      </c>
      <c r="E486" t="s">
        <v>45</v>
      </c>
      <c r="F486" t="s">
        <v>79</v>
      </c>
      <c r="G486" t="s">
        <v>1757</v>
      </c>
      <c r="H486" t="s">
        <v>1758</v>
      </c>
      <c r="I486" t="s">
        <v>49</v>
      </c>
      <c r="J486" t="s">
        <v>64</v>
      </c>
    </row>
    <row r="487" spans="1:10" x14ac:dyDescent="0.35">
      <c r="A487" t="s">
        <v>1759</v>
      </c>
      <c r="B487" t="s">
        <v>887</v>
      </c>
      <c r="C487" t="s">
        <v>22</v>
      </c>
      <c r="D487" t="s">
        <v>73</v>
      </c>
      <c r="E487" t="s">
        <v>14</v>
      </c>
      <c r="F487" t="s">
        <v>38</v>
      </c>
      <c r="G487" t="s">
        <v>1760</v>
      </c>
      <c r="H487" t="s">
        <v>1761</v>
      </c>
      <c r="I487" t="s">
        <v>32</v>
      </c>
      <c r="J487" t="s">
        <v>33</v>
      </c>
    </row>
    <row r="488" spans="1:10" x14ac:dyDescent="0.35">
      <c r="A488" t="s">
        <v>1762</v>
      </c>
      <c r="B488" t="s">
        <v>321</v>
      </c>
      <c r="C488" t="s">
        <v>99</v>
      </c>
      <c r="D488" t="s">
        <v>23</v>
      </c>
      <c r="E488" t="s">
        <v>37</v>
      </c>
      <c r="F488" t="s">
        <v>15</v>
      </c>
      <c r="G488" t="s">
        <v>1763</v>
      </c>
      <c r="H488" t="s">
        <v>1764</v>
      </c>
      <c r="I488" t="s">
        <v>18</v>
      </c>
      <c r="J488" t="s">
        <v>33</v>
      </c>
    </row>
    <row r="489" spans="1:10" x14ac:dyDescent="0.35">
      <c r="A489" t="s">
        <v>1765</v>
      </c>
      <c r="B489" t="s">
        <v>543</v>
      </c>
      <c r="C489" t="s">
        <v>108</v>
      </c>
      <c r="D489" t="s">
        <v>44</v>
      </c>
      <c r="E489" t="s">
        <v>14</v>
      </c>
      <c r="F489" t="s">
        <v>79</v>
      </c>
      <c r="G489" t="s">
        <v>1766</v>
      </c>
      <c r="H489" t="s">
        <v>1767</v>
      </c>
      <c r="I489" t="s">
        <v>32</v>
      </c>
      <c r="J489" t="s">
        <v>33</v>
      </c>
    </row>
    <row r="490" spans="1:10" x14ac:dyDescent="0.35">
      <c r="A490" t="s">
        <v>1768</v>
      </c>
      <c r="B490" t="s">
        <v>786</v>
      </c>
      <c r="C490" t="s">
        <v>99</v>
      </c>
      <c r="D490" t="s">
        <v>44</v>
      </c>
      <c r="E490" t="s">
        <v>134</v>
      </c>
      <c r="F490" t="s">
        <v>15</v>
      </c>
      <c r="G490" t="s">
        <v>1769</v>
      </c>
      <c r="H490" t="s">
        <v>1770</v>
      </c>
      <c r="I490" t="s">
        <v>32</v>
      </c>
      <c r="J490" t="s">
        <v>41</v>
      </c>
    </row>
    <row r="491" spans="1:10" x14ac:dyDescent="0.35">
      <c r="A491" t="s">
        <v>1771</v>
      </c>
      <c r="B491" t="s">
        <v>927</v>
      </c>
      <c r="C491" t="s">
        <v>108</v>
      </c>
      <c r="D491" t="s">
        <v>44</v>
      </c>
      <c r="E491" t="s">
        <v>37</v>
      </c>
      <c r="F491" t="s">
        <v>46</v>
      </c>
      <c r="G491" t="s">
        <v>1772</v>
      </c>
      <c r="H491" t="s">
        <v>1773</v>
      </c>
      <c r="I491" t="s">
        <v>18</v>
      </c>
      <c r="J491" t="s">
        <v>41</v>
      </c>
    </row>
    <row r="492" spans="1:10" x14ac:dyDescent="0.35">
      <c r="A492" t="s">
        <v>1774</v>
      </c>
      <c r="B492" t="s">
        <v>253</v>
      </c>
      <c r="C492" t="s">
        <v>108</v>
      </c>
      <c r="D492" t="s">
        <v>36</v>
      </c>
      <c r="E492" t="s">
        <v>134</v>
      </c>
      <c r="F492" t="s">
        <v>25</v>
      </c>
      <c r="G492" t="s">
        <v>1775</v>
      </c>
      <c r="H492" t="s">
        <v>1776</v>
      </c>
      <c r="I492" t="s">
        <v>49</v>
      </c>
      <c r="J492" t="s">
        <v>19</v>
      </c>
    </row>
    <row r="493" spans="1:10" x14ac:dyDescent="0.35">
      <c r="A493" t="s">
        <v>1777</v>
      </c>
      <c r="B493" t="s">
        <v>919</v>
      </c>
      <c r="C493" t="s">
        <v>22</v>
      </c>
      <c r="D493" t="s">
        <v>23</v>
      </c>
      <c r="E493" t="s">
        <v>24</v>
      </c>
      <c r="F493" t="s">
        <v>15</v>
      </c>
      <c r="G493" t="s">
        <v>1778</v>
      </c>
      <c r="H493" t="s">
        <v>1779</v>
      </c>
      <c r="I493" t="s">
        <v>18</v>
      </c>
      <c r="J493" t="s">
        <v>19</v>
      </c>
    </row>
    <row r="494" spans="1:10" x14ac:dyDescent="0.35">
      <c r="A494" t="s">
        <v>1780</v>
      </c>
      <c r="B494" t="s">
        <v>1781</v>
      </c>
      <c r="C494" t="s">
        <v>52</v>
      </c>
      <c r="D494" t="s">
        <v>44</v>
      </c>
      <c r="E494" t="s">
        <v>14</v>
      </c>
      <c r="F494" t="s">
        <v>25</v>
      </c>
      <c r="G494" t="s">
        <v>1782</v>
      </c>
      <c r="H494" t="s">
        <v>1783</v>
      </c>
      <c r="I494" t="s">
        <v>32</v>
      </c>
      <c r="J494" t="s">
        <v>33</v>
      </c>
    </row>
    <row r="495" spans="1:10" x14ac:dyDescent="0.35">
      <c r="A495" t="s">
        <v>1784</v>
      </c>
      <c r="B495" t="s">
        <v>1062</v>
      </c>
      <c r="C495" t="s">
        <v>52</v>
      </c>
      <c r="D495" t="s">
        <v>44</v>
      </c>
      <c r="E495" t="s">
        <v>109</v>
      </c>
      <c r="F495" t="s">
        <v>79</v>
      </c>
      <c r="G495" t="s">
        <v>1785</v>
      </c>
      <c r="H495" t="s">
        <v>1786</v>
      </c>
      <c r="I495" t="s">
        <v>18</v>
      </c>
      <c r="J495" t="s">
        <v>64</v>
      </c>
    </row>
    <row r="496" spans="1:10" x14ac:dyDescent="0.35">
      <c r="A496" t="s">
        <v>1787</v>
      </c>
      <c r="B496" t="s">
        <v>1788</v>
      </c>
      <c r="C496" t="s">
        <v>99</v>
      </c>
      <c r="D496" t="s">
        <v>53</v>
      </c>
      <c r="E496" t="s">
        <v>37</v>
      </c>
      <c r="F496" t="s">
        <v>15</v>
      </c>
      <c r="G496" t="s">
        <v>1789</v>
      </c>
      <c r="H496" t="s">
        <v>1790</v>
      </c>
      <c r="I496" t="s">
        <v>18</v>
      </c>
      <c r="J496" t="s">
        <v>41</v>
      </c>
    </row>
    <row r="497" spans="1:10" x14ac:dyDescent="0.35">
      <c r="A497" t="s">
        <v>1791</v>
      </c>
      <c r="B497" t="s">
        <v>213</v>
      </c>
      <c r="C497" t="s">
        <v>12</v>
      </c>
      <c r="D497" t="s">
        <v>13</v>
      </c>
      <c r="E497" t="s">
        <v>45</v>
      </c>
      <c r="F497" t="s">
        <v>74</v>
      </c>
      <c r="G497" t="s">
        <v>1792</v>
      </c>
      <c r="H497" t="s">
        <v>1793</v>
      </c>
      <c r="I497" t="s">
        <v>18</v>
      </c>
      <c r="J497" t="s">
        <v>19</v>
      </c>
    </row>
    <row r="498" spans="1:10" x14ac:dyDescent="0.35">
      <c r="A498" t="s">
        <v>1794</v>
      </c>
      <c r="B498" t="s">
        <v>1795</v>
      </c>
      <c r="C498" t="s">
        <v>22</v>
      </c>
      <c r="D498" t="s">
        <v>13</v>
      </c>
      <c r="E498" t="s">
        <v>45</v>
      </c>
      <c r="F498" t="s">
        <v>15</v>
      </c>
      <c r="G498" t="s">
        <v>1796</v>
      </c>
      <c r="H498" t="s">
        <v>1797</v>
      </c>
      <c r="I498" t="s">
        <v>18</v>
      </c>
      <c r="J498" t="s">
        <v>64</v>
      </c>
    </row>
    <row r="499" spans="1:10" x14ac:dyDescent="0.35">
      <c r="A499" t="s">
        <v>1798</v>
      </c>
      <c r="B499" t="s">
        <v>1079</v>
      </c>
      <c r="C499" t="s">
        <v>22</v>
      </c>
      <c r="D499" t="s">
        <v>36</v>
      </c>
      <c r="E499" t="s">
        <v>45</v>
      </c>
      <c r="F499" t="s">
        <v>38</v>
      </c>
      <c r="G499" t="s">
        <v>1799</v>
      </c>
      <c r="H499" t="s">
        <v>1800</v>
      </c>
      <c r="I499" t="s">
        <v>32</v>
      </c>
      <c r="J499" t="s">
        <v>64</v>
      </c>
    </row>
    <row r="500" spans="1:10" x14ac:dyDescent="0.35">
      <c r="A500" t="s">
        <v>1801</v>
      </c>
      <c r="B500" t="s">
        <v>954</v>
      </c>
      <c r="C500" t="s">
        <v>67</v>
      </c>
      <c r="D500" t="s">
        <v>73</v>
      </c>
      <c r="E500" t="s">
        <v>14</v>
      </c>
      <c r="F500" t="s">
        <v>46</v>
      </c>
      <c r="G500" t="s">
        <v>1802</v>
      </c>
      <c r="H500" t="s">
        <v>1803</v>
      </c>
      <c r="I500" t="s">
        <v>49</v>
      </c>
      <c r="J500" t="s">
        <v>33</v>
      </c>
    </row>
    <row r="501" spans="1:10" x14ac:dyDescent="0.35">
      <c r="A501" t="s">
        <v>1804</v>
      </c>
      <c r="B501" t="s">
        <v>182</v>
      </c>
      <c r="C501" t="s">
        <v>67</v>
      </c>
      <c r="D501" t="s">
        <v>23</v>
      </c>
      <c r="E501" t="s">
        <v>14</v>
      </c>
      <c r="F501" t="s">
        <v>38</v>
      </c>
      <c r="G501" t="s">
        <v>1805</v>
      </c>
      <c r="H501" t="s">
        <v>1806</v>
      </c>
      <c r="I501" t="s">
        <v>18</v>
      </c>
      <c r="J501" t="s">
        <v>19</v>
      </c>
    </row>
    <row r="502" spans="1:10" x14ac:dyDescent="0.35">
      <c r="A502" t="s">
        <v>1807</v>
      </c>
      <c r="B502" t="s">
        <v>1248</v>
      </c>
      <c r="C502" t="s">
        <v>12</v>
      </c>
      <c r="D502" t="s">
        <v>23</v>
      </c>
      <c r="E502" t="s">
        <v>24</v>
      </c>
      <c r="F502" t="s">
        <v>79</v>
      </c>
      <c r="G502" t="s">
        <v>1808</v>
      </c>
      <c r="H502" t="s">
        <v>1809</v>
      </c>
      <c r="I502" t="s">
        <v>49</v>
      </c>
      <c r="J502" t="s">
        <v>33</v>
      </c>
    </row>
    <row r="503" spans="1:10" x14ac:dyDescent="0.35">
      <c r="A503" t="s">
        <v>1810</v>
      </c>
      <c r="B503" t="s">
        <v>736</v>
      </c>
      <c r="C503" t="s">
        <v>67</v>
      </c>
      <c r="D503" t="s">
        <v>73</v>
      </c>
      <c r="E503" t="s">
        <v>109</v>
      </c>
      <c r="F503" t="s">
        <v>46</v>
      </c>
      <c r="G503" t="s">
        <v>1811</v>
      </c>
      <c r="H503" t="s">
        <v>1812</v>
      </c>
      <c r="I503" t="s">
        <v>32</v>
      </c>
      <c r="J503" t="s">
        <v>19</v>
      </c>
    </row>
    <row r="504" spans="1:10" x14ac:dyDescent="0.35">
      <c r="A504" t="s">
        <v>1813</v>
      </c>
      <c r="B504" t="s">
        <v>261</v>
      </c>
      <c r="C504" t="s">
        <v>72</v>
      </c>
      <c r="D504" t="s">
        <v>44</v>
      </c>
      <c r="E504" t="s">
        <v>24</v>
      </c>
      <c r="F504" t="s">
        <v>46</v>
      </c>
      <c r="G504" t="s">
        <v>1814</v>
      </c>
      <c r="H504" t="s">
        <v>1815</v>
      </c>
      <c r="I504" t="s">
        <v>49</v>
      </c>
      <c r="J504" t="s">
        <v>19</v>
      </c>
    </row>
    <row r="505" spans="1:10" x14ac:dyDescent="0.35">
      <c r="A505" t="s">
        <v>1816</v>
      </c>
      <c r="B505" t="s">
        <v>446</v>
      </c>
      <c r="C505" t="s">
        <v>108</v>
      </c>
      <c r="D505" t="s">
        <v>36</v>
      </c>
      <c r="E505" t="s">
        <v>14</v>
      </c>
      <c r="F505" t="s">
        <v>25</v>
      </c>
      <c r="G505" t="s">
        <v>1817</v>
      </c>
      <c r="H505" t="s">
        <v>1818</v>
      </c>
      <c r="I505" t="s">
        <v>49</v>
      </c>
      <c r="J505" t="s">
        <v>64</v>
      </c>
    </row>
    <row r="506" spans="1:10" x14ac:dyDescent="0.35">
      <c r="A506" t="s">
        <v>1819</v>
      </c>
      <c r="B506" t="s">
        <v>1820</v>
      </c>
      <c r="C506" t="s">
        <v>12</v>
      </c>
      <c r="D506" t="s">
        <v>23</v>
      </c>
      <c r="E506" t="s">
        <v>134</v>
      </c>
      <c r="F506" t="s">
        <v>79</v>
      </c>
      <c r="G506" t="s">
        <v>1821</v>
      </c>
      <c r="H506" t="s">
        <v>1822</v>
      </c>
      <c r="I506" t="s">
        <v>18</v>
      </c>
      <c r="J506" t="s">
        <v>41</v>
      </c>
    </row>
    <row r="507" spans="1:10" x14ac:dyDescent="0.35">
      <c r="A507" t="s">
        <v>1823</v>
      </c>
      <c r="B507" t="s">
        <v>1644</v>
      </c>
      <c r="C507" t="s">
        <v>22</v>
      </c>
      <c r="D507" t="s">
        <v>53</v>
      </c>
      <c r="E507" t="s">
        <v>14</v>
      </c>
      <c r="F507" t="s">
        <v>38</v>
      </c>
      <c r="G507" t="s">
        <v>1824</v>
      </c>
      <c r="H507" t="s">
        <v>1825</v>
      </c>
      <c r="I507" t="s">
        <v>49</v>
      </c>
      <c r="J507" t="s">
        <v>64</v>
      </c>
    </row>
    <row r="508" spans="1:10" x14ac:dyDescent="0.35">
      <c r="A508" t="s">
        <v>1826</v>
      </c>
      <c r="B508" t="s">
        <v>1827</v>
      </c>
      <c r="C508" t="s">
        <v>52</v>
      </c>
      <c r="D508" t="s">
        <v>44</v>
      </c>
      <c r="E508" t="s">
        <v>109</v>
      </c>
      <c r="F508" t="s">
        <v>15</v>
      </c>
      <c r="G508" t="s">
        <v>1828</v>
      </c>
      <c r="H508" t="s">
        <v>1829</v>
      </c>
      <c r="I508" t="s">
        <v>32</v>
      </c>
      <c r="J508" t="s">
        <v>64</v>
      </c>
    </row>
    <row r="509" spans="1:10" x14ac:dyDescent="0.35">
      <c r="A509" t="s">
        <v>1830</v>
      </c>
      <c r="B509" t="s">
        <v>302</v>
      </c>
      <c r="C509" t="s">
        <v>67</v>
      </c>
      <c r="D509" t="s">
        <v>36</v>
      </c>
      <c r="E509" t="s">
        <v>14</v>
      </c>
      <c r="F509" t="s">
        <v>79</v>
      </c>
      <c r="G509" t="s">
        <v>1831</v>
      </c>
      <c r="H509" t="s">
        <v>1832</v>
      </c>
      <c r="I509" t="s">
        <v>18</v>
      </c>
      <c r="J509" t="s">
        <v>33</v>
      </c>
    </row>
    <row r="510" spans="1:10" x14ac:dyDescent="0.35">
      <c r="A510" t="s">
        <v>1833</v>
      </c>
      <c r="B510" t="s">
        <v>461</v>
      </c>
      <c r="C510" t="s">
        <v>67</v>
      </c>
      <c r="D510" t="s">
        <v>36</v>
      </c>
      <c r="E510" t="s">
        <v>45</v>
      </c>
      <c r="F510" t="s">
        <v>79</v>
      </c>
      <c r="G510" t="s">
        <v>1834</v>
      </c>
      <c r="H510" t="s">
        <v>1835</v>
      </c>
      <c r="I510" t="s">
        <v>49</v>
      </c>
      <c r="J510" t="s">
        <v>19</v>
      </c>
    </row>
    <row r="511" spans="1:10" x14ac:dyDescent="0.35">
      <c r="A511" t="s">
        <v>1836</v>
      </c>
      <c r="B511" t="s">
        <v>1363</v>
      </c>
      <c r="C511" t="s">
        <v>99</v>
      </c>
      <c r="D511" t="s">
        <v>73</v>
      </c>
      <c r="E511" t="s">
        <v>14</v>
      </c>
      <c r="F511" t="s">
        <v>25</v>
      </c>
      <c r="G511" t="s">
        <v>1837</v>
      </c>
      <c r="H511" t="s">
        <v>1838</v>
      </c>
      <c r="I511" t="s">
        <v>49</v>
      </c>
      <c r="J511" t="s">
        <v>41</v>
      </c>
    </row>
    <row r="512" spans="1:10" x14ac:dyDescent="0.35">
      <c r="A512" t="s">
        <v>1839</v>
      </c>
      <c r="B512" t="s">
        <v>1840</v>
      </c>
      <c r="C512" t="s">
        <v>52</v>
      </c>
      <c r="D512" t="s">
        <v>73</v>
      </c>
      <c r="E512" t="s">
        <v>37</v>
      </c>
      <c r="F512" t="s">
        <v>38</v>
      </c>
      <c r="G512" t="s">
        <v>1841</v>
      </c>
      <c r="H512" t="s">
        <v>1842</v>
      </c>
      <c r="I512" t="s">
        <v>32</v>
      </c>
      <c r="J512" t="s">
        <v>19</v>
      </c>
    </row>
    <row r="513" spans="1:10" x14ac:dyDescent="0.35">
      <c r="A513" t="s">
        <v>1843</v>
      </c>
      <c r="B513" t="s">
        <v>213</v>
      </c>
      <c r="C513" t="s">
        <v>52</v>
      </c>
      <c r="D513" t="s">
        <v>53</v>
      </c>
      <c r="E513" t="s">
        <v>109</v>
      </c>
      <c r="F513" t="s">
        <v>15</v>
      </c>
      <c r="G513" t="s">
        <v>1844</v>
      </c>
      <c r="H513" t="s">
        <v>1845</v>
      </c>
      <c r="I513" t="s">
        <v>32</v>
      </c>
      <c r="J513" t="s">
        <v>64</v>
      </c>
    </row>
    <row r="514" spans="1:10" x14ac:dyDescent="0.35">
      <c r="A514" t="s">
        <v>1846</v>
      </c>
      <c r="B514" t="s">
        <v>1847</v>
      </c>
      <c r="C514" t="s">
        <v>22</v>
      </c>
      <c r="D514" t="s">
        <v>23</v>
      </c>
      <c r="E514" t="s">
        <v>134</v>
      </c>
      <c r="F514" t="s">
        <v>25</v>
      </c>
      <c r="G514" t="s">
        <v>1848</v>
      </c>
      <c r="H514" t="s">
        <v>1849</v>
      </c>
      <c r="I514" t="s">
        <v>18</v>
      </c>
      <c r="J514" t="s">
        <v>41</v>
      </c>
    </row>
    <row r="515" spans="1:10" x14ac:dyDescent="0.35">
      <c r="A515" t="s">
        <v>1850</v>
      </c>
      <c r="B515" t="s">
        <v>1847</v>
      </c>
      <c r="C515" t="s">
        <v>67</v>
      </c>
      <c r="D515" t="s">
        <v>36</v>
      </c>
      <c r="E515" t="s">
        <v>45</v>
      </c>
      <c r="F515" t="s">
        <v>15</v>
      </c>
      <c r="G515" t="s">
        <v>1851</v>
      </c>
      <c r="H515" t="s">
        <v>1852</v>
      </c>
      <c r="I515" t="s">
        <v>49</v>
      </c>
      <c r="J515" t="s">
        <v>41</v>
      </c>
    </row>
    <row r="516" spans="1:10" x14ac:dyDescent="0.35">
      <c r="A516" t="s">
        <v>1853</v>
      </c>
      <c r="B516" t="s">
        <v>1854</v>
      </c>
      <c r="C516" t="s">
        <v>52</v>
      </c>
      <c r="D516" t="s">
        <v>13</v>
      </c>
      <c r="E516" t="s">
        <v>24</v>
      </c>
      <c r="F516" t="s">
        <v>25</v>
      </c>
      <c r="G516" t="s">
        <v>1855</v>
      </c>
      <c r="H516" t="s">
        <v>1856</v>
      </c>
      <c r="I516" t="s">
        <v>32</v>
      </c>
      <c r="J516" t="s">
        <v>33</v>
      </c>
    </row>
    <row r="517" spans="1:10" x14ac:dyDescent="0.35">
      <c r="A517" t="s">
        <v>1857</v>
      </c>
      <c r="B517" t="s">
        <v>426</v>
      </c>
      <c r="C517" t="s">
        <v>72</v>
      </c>
      <c r="D517" t="s">
        <v>23</v>
      </c>
      <c r="E517" t="s">
        <v>37</v>
      </c>
      <c r="F517" t="s">
        <v>38</v>
      </c>
      <c r="G517" t="s">
        <v>1858</v>
      </c>
      <c r="H517" t="s">
        <v>1859</v>
      </c>
      <c r="I517" t="s">
        <v>18</v>
      </c>
      <c r="J517" t="s">
        <v>64</v>
      </c>
    </row>
    <row r="518" spans="1:10" x14ac:dyDescent="0.35">
      <c r="A518" t="s">
        <v>1860</v>
      </c>
      <c r="B518" t="s">
        <v>302</v>
      </c>
      <c r="C518" t="s">
        <v>67</v>
      </c>
      <c r="D518" t="s">
        <v>73</v>
      </c>
      <c r="E518" t="s">
        <v>24</v>
      </c>
      <c r="F518" t="s">
        <v>74</v>
      </c>
      <c r="G518" t="s">
        <v>1861</v>
      </c>
      <c r="H518" t="s">
        <v>1862</v>
      </c>
      <c r="I518" t="s">
        <v>49</v>
      </c>
      <c r="J518" t="s">
        <v>64</v>
      </c>
    </row>
    <row r="519" spans="1:10" x14ac:dyDescent="0.35">
      <c r="A519" t="s">
        <v>1863</v>
      </c>
      <c r="B519" t="s">
        <v>1307</v>
      </c>
      <c r="C519" t="s">
        <v>72</v>
      </c>
      <c r="D519" t="s">
        <v>73</v>
      </c>
      <c r="E519" t="s">
        <v>134</v>
      </c>
      <c r="F519" t="s">
        <v>74</v>
      </c>
      <c r="G519" t="s">
        <v>1864</v>
      </c>
      <c r="H519" t="s">
        <v>1865</v>
      </c>
      <c r="I519" t="s">
        <v>18</v>
      </c>
      <c r="J519" t="s">
        <v>33</v>
      </c>
    </row>
    <row r="520" spans="1:10" x14ac:dyDescent="0.35">
      <c r="A520" t="s">
        <v>1866</v>
      </c>
      <c r="B520" t="s">
        <v>383</v>
      </c>
      <c r="C520" t="s">
        <v>12</v>
      </c>
      <c r="D520" t="s">
        <v>13</v>
      </c>
      <c r="E520" t="s">
        <v>14</v>
      </c>
      <c r="F520" t="s">
        <v>25</v>
      </c>
      <c r="G520" t="s">
        <v>1867</v>
      </c>
      <c r="H520" t="s">
        <v>1868</v>
      </c>
      <c r="I520" t="s">
        <v>32</v>
      </c>
      <c r="J520" t="s">
        <v>64</v>
      </c>
    </row>
    <row r="521" spans="1:10" x14ac:dyDescent="0.35">
      <c r="A521" t="s">
        <v>1869</v>
      </c>
      <c r="B521" t="s">
        <v>1870</v>
      </c>
      <c r="C521" t="s">
        <v>72</v>
      </c>
      <c r="D521" t="s">
        <v>53</v>
      </c>
      <c r="E521" t="s">
        <v>14</v>
      </c>
      <c r="F521" t="s">
        <v>38</v>
      </c>
      <c r="G521" t="s">
        <v>1871</v>
      </c>
      <c r="H521" t="s">
        <v>1872</v>
      </c>
      <c r="I521" t="s">
        <v>18</v>
      </c>
      <c r="J521" t="s">
        <v>64</v>
      </c>
    </row>
    <row r="522" spans="1:10" x14ac:dyDescent="0.35">
      <c r="A522" t="s">
        <v>1873</v>
      </c>
      <c r="B522" t="s">
        <v>1300</v>
      </c>
      <c r="C522" t="s">
        <v>99</v>
      </c>
      <c r="D522" t="s">
        <v>73</v>
      </c>
      <c r="E522" t="s">
        <v>109</v>
      </c>
      <c r="F522" t="s">
        <v>74</v>
      </c>
      <c r="G522" t="s">
        <v>1874</v>
      </c>
      <c r="H522" t="s">
        <v>1875</v>
      </c>
      <c r="I522" t="s">
        <v>32</v>
      </c>
      <c r="J522" t="s">
        <v>64</v>
      </c>
    </row>
    <row r="523" spans="1:10" x14ac:dyDescent="0.35">
      <c r="A523" t="s">
        <v>1876</v>
      </c>
      <c r="B523" t="s">
        <v>1877</v>
      </c>
      <c r="C523" t="s">
        <v>72</v>
      </c>
      <c r="D523" t="s">
        <v>13</v>
      </c>
      <c r="E523" t="s">
        <v>14</v>
      </c>
      <c r="F523" t="s">
        <v>15</v>
      </c>
      <c r="G523" t="s">
        <v>1878</v>
      </c>
      <c r="H523" t="s">
        <v>1879</v>
      </c>
      <c r="I523" t="s">
        <v>49</v>
      </c>
      <c r="J523" t="s">
        <v>33</v>
      </c>
    </row>
    <row r="524" spans="1:10" x14ac:dyDescent="0.35">
      <c r="A524" t="s">
        <v>1880</v>
      </c>
      <c r="B524" t="s">
        <v>229</v>
      </c>
      <c r="C524" t="s">
        <v>12</v>
      </c>
      <c r="D524" t="s">
        <v>73</v>
      </c>
      <c r="E524" t="s">
        <v>45</v>
      </c>
      <c r="F524" t="s">
        <v>15</v>
      </c>
      <c r="G524" t="s">
        <v>1881</v>
      </c>
      <c r="H524" t="s">
        <v>1882</v>
      </c>
      <c r="I524" t="s">
        <v>32</v>
      </c>
      <c r="J524" t="s">
        <v>41</v>
      </c>
    </row>
    <row r="525" spans="1:10" x14ac:dyDescent="0.35">
      <c r="A525" t="s">
        <v>1883</v>
      </c>
      <c r="B525" t="s">
        <v>1884</v>
      </c>
      <c r="C525" t="s">
        <v>108</v>
      </c>
      <c r="D525" t="s">
        <v>36</v>
      </c>
      <c r="E525" t="s">
        <v>37</v>
      </c>
      <c r="F525" t="s">
        <v>38</v>
      </c>
      <c r="G525" t="s">
        <v>1885</v>
      </c>
      <c r="H525" t="s">
        <v>1886</v>
      </c>
      <c r="I525" t="s">
        <v>18</v>
      </c>
      <c r="J525" t="s">
        <v>19</v>
      </c>
    </row>
    <row r="526" spans="1:10" x14ac:dyDescent="0.35">
      <c r="A526" t="s">
        <v>1887</v>
      </c>
      <c r="B526" t="s">
        <v>1888</v>
      </c>
      <c r="C526" t="s">
        <v>99</v>
      </c>
      <c r="D526" t="s">
        <v>53</v>
      </c>
      <c r="E526" t="s">
        <v>134</v>
      </c>
      <c r="F526" t="s">
        <v>25</v>
      </c>
      <c r="G526" t="s">
        <v>1889</v>
      </c>
      <c r="H526" t="s">
        <v>1890</v>
      </c>
      <c r="I526" t="s">
        <v>49</v>
      </c>
      <c r="J526" t="s">
        <v>33</v>
      </c>
    </row>
    <row r="527" spans="1:10" x14ac:dyDescent="0.35">
      <c r="A527" t="s">
        <v>1891</v>
      </c>
      <c r="B527" t="s">
        <v>1655</v>
      </c>
      <c r="C527" t="s">
        <v>72</v>
      </c>
      <c r="D527" t="s">
        <v>23</v>
      </c>
      <c r="E527" t="s">
        <v>134</v>
      </c>
      <c r="F527" t="s">
        <v>15</v>
      </c>
      <c r="G527" t="s">
        <v>1892</v>
      </c>
      <c r="H527" t="s">
        <v>1893</v>
      </c>
      <c r="I527" t="s">
        <v>32</v>
      </c>
      <c r="J527" t="s">
        <v>33</v>
      </c>
    </row>
    <row r="528" spans="1:10" x14ac:dyDescent="0.35">
      <c r="A528" t="s">
        <v>1894</v>
      </c>
      <c r="B528" t="s">
        <v>107</v>
      </c>
      <c r="C528" t="s">
        <v>22</v>
      </c>
      <c r="D528" t="s">
        <v>23</v>
      </c>
      <c r="E528" t="s">
        <v>134</v>
      </c>
      <c r="F528" t="s">
        <v>46</v>
      </c>
      <c r="G528" t="s">
        <v>1895</v>
      </c>
      <c r="H528" t="s">
        <v>1896</v>
      </c>
      <c r="I528" t="s">
        <v>32</v>
      </c>
      <c r="J528" t="s">
        <v>19</v>
      </c>
    </row>
    <row r="529" spans="1:10" x14ac:dyDescent="0.35">
      <c r="A529" t="s">
        <v>1897</v>
      </c>
      <c r="B529" t="s">
        <v>1011</v>
      </c>
      <c r="C529" t="s">
        <v>108</v>
      </c>
      <c r="D529" t="s">
        <v>23</v>
      </c>
      <c r="E529" t="s">
        <v>45</v>
      </c>
      <c r="F529" t="s">
        <v>25</v>
      </c>
      <c r="G529" t="s">
        <v>1898</v>
      </c>
      <c r="H529" t="s">
        <v>1899</v>
      </c>
      <c r="I529" t="s">
        <v>49</v>
      </c>
      <c r="J529" t="s">
        <v>19</v>
      </c>
    </row>
    <row r="530" spans="1:10" x14ac:dyDescent="0.35">
      <c r="A530" t="s">
        <v>1900</v>
      </c>
      <c r="B530" t="s">
        <v>121</v>
      </c>
      <c r="C530" t="s">
        <v>108</v>
      </c>
      <c r="D530" t="s">
        <v>53</v>
      </c>
      <c r="E530" t="s">
        <v>45</v>
      </c>
      <c r="F530" t="s">
        <v>25</v>
      </c>
      <c r="G530" t="s">
        <v>1901</v>
      </c>
      <c r="H530" t="s">
        <v>1902</v>
      </c>
      <c r="I530" t="s">
        <v>49</v>
      </c>
      <c r="J530" t="s">
        <v>33</v>
      </c>
    </row>
    <row r="531" spans="1:10" x14ac:dyDescent="0.35">
      <c r="A531" t="s">
        <v>1903</v>
      </c>
      <c r="B531" t="s">
        <v>629</v>
      </c>
      <c r="C531" t="s">
        <v>67</v>
      </c>
      <c r="D531" t="s">
        <v>36</v>
      </c>
      <c r="E531" t="s">
        <v>134</v>
      </c>
      <c r="F531" t="s">
        <v>38</v>
      </c>
      <c r="G531" t="s">
        <v>1904</v>
      </c>
      <c r="H531" t="s">
        <v>1905</v>
      </c>
      <c r="I531" t="s">
        <v>49</v>
      </c>
      <c r="J531" t="s">
        <v>33</v>
      </c>
    </row>
    <row r="532" spans="1:10" x14ac:dyDescent="0.35">
      <c r="A532" t="s">
        <v>1906</v>
      </c>
      <c r="B532" t="s">
        <v>1907</v>
      </c>
      <c r="C532" t="s">
        <v>22</v>
      </c>
      <c r="D532" t="s">
        <v>23</v>
      </c>
      <c r="E532" t="s">
        <v>134</v>
      </c>
      <c r="F532" t="s">
        <v>74</v>
      </c>
      <c r="G532" t="s">
        <v>1908</v>
      </c>
      <c r="H532" t="s">
        <v>1909</v>
      </c>
      <c r="I532" t="s">
        <v>18</v>
      </c>
      <c r="J532" t="s">
        <v>41</v>
      </c>
    </row>
    <row r="533" spans="1:10" x14ac:dyDescent="0.35">
      <c r="A533" t="s">
        <v>1910</v>
      </c>
      <c r="B533" t="s">
        <v>771</v>
      </c>
      <c r="C533" t="s">
        <v>67</v>
      </c>
      <c r="D533" t="s">
        <v>23</v>
      </c>
      <c r="E533" t="s">
        <v>109</v>
      </c>
      <c r="F533" t="s">
        <v>38</v>
      </c>
      <c r="G533" t="s">
        <v>1911</v>
      </c>
      <c r="H533" t="s">
        <v>1912</v>
      </c>
      <c r="I533" t="s">
        <v>18</v>
      </c>
      <c r="J533" t="s">
        <v>41</v>
      </c>
    </row>
    <row r="534" spans="1:10" x14ac:dyDescent="0.35">
      <c r="A534" t="s">
        <v>1913</v>
      </c>
      <c r="B534" t="s">
        <v>1914</v>
      </c>
      <c r="C534" t="s">
        <v>52</v>
      </c>
      <c r="D534" t="s">
        <v>36</v>
      </c>
      <c r="E534" t="s">
        <v>45</v>
      </c>
      <c r="F534" t="s">
        <v>46</v>
      </c>
      <c r="G534" t="s">
        <v>1915</v>
      </c>
      <c r="H534" t="s">
        <v>1916</v>
      </c>
      <c r="I534" t="s">
        <v>32</v>
      </c>
      <c r="J534" t="s">
        <v>64</v>
      </c>
    </row>
    <row r="535" spans="1:10" x14ac:dyDescent="0.35">
      <c r="A535" t="s">
        <v>1917</v>
      </c>
      <c r="B535" t="s">
        <v>1918</v>
      </c>
      <c r="C535" t="s">
        <v>108</v>
      </c>
      <c r="D535" t="s">
        <v>53</v>
      </c>
      <c r="E535" t="s">
        <v>109</v>
      </c>
      <c r="F535" t="s">
        <v>15</v>
      </c>
      <c r="G535" t="s">
        <v>1919</v>
      </c>
      <c r="H535" t="s">
        <v>1920</v>
      </c>
      <c r="I535" t="s">
        <v>49</v>
      </c>
      <c r="J535" t="s">
        <v>41</v>
      </c>
    </row>
    <row r="536" spans="1:10" x14ac:dyDescent="0.35">
      <c r="A536" t="s">
        <v>1921</v>
      </c>
      <c r="B536" t="s">
        <v>602</v>
      </c>
      <c r="C536" t="s">
        <v>52</v>
      </c>
      <c r="D536" t="s">
        <v>53</v>
      </c>
      <c r="E536" t="s">
        <v>37</v>
      </c>
      <c r="F536" t="s">
        <v>38</v>
      </c>
      <c r="G536" t="s">
        <v>1922</v>
      </c>
      <c r="H536" t="s">
        <v>1923</v>
      </c>
      <c r="I536" t="s">
        <v>49</v>
      </c>
      <c r="J536" t="s">
        <v>33</v>
      </c>
    </row>
    <row r="537" spans="1:10" x14ac:dyDescent="0.35">
      <c r="A537" t="s">
        <v>1924</v>
      </c>
      <c r="B537" t="s">
        <v>170</v>
      </c>
      <c r="C537" t="s">
        <v>108</v>
      </c>
      <c r="D537" t="s">
        <v>73</v>
      </c>
      <c r="E537" t="s">
        <v>14</v>
      </c>
      <c r="F537" t="s">
        <v>79</v>
      </c>
      <c r="G537" t="s">
        <v>1925</v>
      </c>
      <c r="H537" t="s">
        <v>1926</v>
      </c>
      <c r="I537" t="s">
        <v>18</v>
      </c>
      <c r="J537" t="s">
        <v>33</v>
      </c>
    </row>
    <row r="538" spans="1:10" x14ac:dyDescent="0.35">
      <c r="A538" t="s">
        <v>1927</v>
      </c>
      <c r="B538" t="s">
        <v>1015</v>
      </c>
      <c r="C538" t="s">
        <v>67</v>
      </c>
      <c r="D538" t="s">
        <v>53</v>
      </c>
      <c r="E538" t="s">
        <v>24</v>
      </c>
      <c r="F538" t="s">
        <v>38</v>
      </c>
      <c r="G538" t="s">
        <v>1928</v>
      </c>
      <c r="H538" t="s">
        <v>1929</v>
      </c>
      <c r="I538" t="s">
        <v>32</v>
      </c>
      <c r="J538" t="s">
        <v>19</v>
      </c>
    </row>
    <row r="539" spans="1:10" x14ac:dyDescent="0.35">
      <c r="A539" t="s">
        <v>1930</v>
      </c>
      <c r="B539" t="s">
        <v>736</v>
      </c>
      <c r="C539" t="s">
        <v>52</v>
      </c>
      <c r="D539" t="s">
        <v>36</v>
      </c>
      <c r="E539" t="s">
        <v>134</v>
      </c>
      <c r="F539" t="s">
        <v>25</v>
      </c>
      <c r="G539" t="s">
        <v>1931</v>
      </c>
      <c r="H539" t="s">
        <v>1932</v>
      </c>
      <c r="I539" t="s">
        <v>49</v>
      </c>
      <c r="J539" t="s">
        <v>41</v>
      </c>
    </row>
    <row r="540" spans="1:10" x14ac:dyDescent="0.35">
      <c r="A540" t="s">
        <v>1933</v>
      </c>
      <c r="B540" t="s">
        <v>1934</v>
      </c>
      <c r="C540" t="s">
        <v>99</v>
      </c>
      <c r="D540" t="s">
        <v>44</v>
      </c>
      <c r="E540" t="s">
        <v>134</v>
      </c>
      <c r="F540" t="s">
        <v>79</v>
      </c>
      <c r="G540" t="s">
        <v>1935</v>
      </c>
      <c r="H540" t="s">
        <v>1936</v>
      </c>
      <c r="I540" t="s">
        <v>49</v>
      </c>
      <c r="J540" t="s">
        <v>19</v>
      </c>
    </row>
    <row r="541" spans="1:10" x14ac:dyDescent="0.35">
      <c r="A541" t="s">
        <v>1937</v>
      </c>
      <c r="B541" t="s">
        <v>1938</v>
      </c>
      <c r="C541" t="s">
        <v>72</v>
      </c>
      <c r="D541" t="s">
        <v>53</v>
      </c>
      <c r="E541" t="s">
        <v>45</v>
      </c>
      <c r="F541" t="s">
        <v>79</v>
      </c>
      <c r="G541" t="s">
        <v>1939</v>
      </c>
      <c r="H541" t="s">
        <v>1940</v>
      </c>
      <c r="I541" t="s">
        <v>49</v>
      </c>
      <c r="J541" t="s">
        <v>41</v>
      </c>
    </row>
    <row r="542" spans="1:10" x14ac:dyDescent="0.35">
      <c r="A542" t="s">
        <v>1941</v>
      </c>
      <c r="B542" t="s">
        <v>527</v>
      </c>
      <c r="C542" t="s">
        <v>52</v>
      </c>
      <c r="D542" t="s">
        <v>73</v>
      </c>
      <c r="E542" t="s">
        <v>134</v>
      </c>
      <c r="F542" t="s">
        <v>46</v>
      </c>
      <c r="G542" t="s">
        <v>1942</v>
      </c>
      <c r="H542" t="s">
        <v>1943</v>
      </c>
      <c r="I542" t="s">
        <v>49</v>
      </c>
      <c r="J542" t="s">
        <v>41</v>
      </c>
    </row>
    <row r="543" spans="1:10" x14ac:dyDescent="0.35">
      <c r="A543" t="s">
        <v>1944</v>
      </c>
      <c r="B543" t="s">
        <v>778</v>
      </c>
      <c r="C543" t="s">
        <v>52</v>
      </c>
      <c r="D543" t="s">
        <v>36</v>
      </c>
      <c r="E543" t="s">
        <v>24</v>
      </c>
      <c r="F543" t="s">
        <v>46</v>
      </c>
      <c r="G543" t="s">
        <v>1945</v>
      </c>
      <c r="H543" t="s">
        <v>1946</v>
      </c>
      <c r="I543" t="s">
        <v>18</v>
      </c>
      <c r="J543" t="s">
        <v>64</v>
      </c>
    </row>
    <row r="544" spans="1:10" x14ac:dyDescent="0.35">
      <c r="A544" t="s">
        <v>1947</v>
      </c>
      <c r="B544" t="s">
        <v>1948</v>
      </c>
      <c r="C544" t="s">
        <v>52</v>
      </c>
      <c r="D544" t="s">
        <v>36</v>
      </c>
      <c r="E544" t="s">
        <v>24</v>
      </c>
      <c r="F544" t="s">
        <v>15</v>
      </c>
      <c r="G544" t="s">
        <v>1949</v>
      </c>
      <c r="H544" t="s">
        <v>1950</v>
      </c>
      <c r="I544" t="s">
        <v>18</v>
      </c>
      <c r="J544" t="s">
        <v>19</v>
      </c>
    </row>
    <row r="545" spans="1:10" x14ac:dyDescent="0.35">
      <c r="A545" t="s">
        <v>1951</v>
      </c>
      <c r="B545" t="s">
        <v>763</v>
      </c>
      <c r="C545" t="s">
        <v>12</v>
      </c>
      <c r="D545" t="s">
        <v>53</v>
      </c>
      <c r="E545" t="s">
        <v>109</v>
      </c>
      <c r="F545" t="s">
        <v>38</v>
      </c>
      <c r="G545" t="s">
        <v>1952</v>
      </c>
      <c r="H545" t="s">
        <v>1953</v>
      </c>
      <c r="I545" t="s">
        <v>32</v>
      </c>
      <c r="J545" t="s">
        <v>41</v>
      </c>
    </row>
    <row r="546" spans="1:10" x14ac:dyDescent="0.35">
      <c r="A546" t="s">
        <v>1954</v>
      </c>
      <c r="B546" t="s">
        <v>1795</v>
      </c>
      <c r="C546" t="s">
        <v>72</v>
      </c>
      <c r="D546" t="s">
        <v>23</v>
      </c>
      <c r="E546" t="s">
        <v>37</v>
      </c>
      <c r="F546" t="s">
        <v>74</v>
      </c>
      <c r="G546" t="s">
        <v>1955</v>
      </c>
      <c r="H546" t="s">
        <v>1956</v>
      </c>
      <c r="I546" t="s">
        <v>49</v>
      </c>
      <c r="J546" t="s">
        <v>19</v>
      </c>
    </row>
    <row r="547" spans="1:10" x14ac:dyDescent="0.35">
      <c r="A547" t="s">
        <v>1957</v>
      </c>
      <c r="B547" t="s">
        <v>1474</v>
      </c>
      <c r="C547" t="s">
        <v>67</v>
      </c>
      <c r="D547" t="s">
        <v>53</v>
      </c>
      <c r="E547" t="s">
        <v>37</v>
      </c>
      <c r="F547" t="s">
        <v>79</v>
      </c>
      <c r="G547" t="s">
        <v>1958</v>
      </c>
      <c r="H547" t="s">
        <v>1959</v>
      </c>
      <c r="I547" t="s">
        <v>32</v>
      </c>
      <c r="J547" t="s">
        <v>64</v>
      </c>
    </row>
    <row r="548" spans="1:10" x14ac:dyDescent="0.35">
      <c r="A548" t="s">
        <v>1960</v>
      </c>
      <c r="B548" t="s">
        <v>1565</v>
      </c>
      <c r="C548" t="s">
        <v>12</v>
      </c>
      <c r="D548" t="s">
        <v>73</v>
      </c>
      <c r="E548" t="s">
        <v>109</v>
      </c>
      <c r="F548" t="s">
        <v>25</v>
      </c>
      <c r="G548" t="s">
        <v>1961</v>
      </c>
      <c r="H548" t="s">
        <v>1962</v>
      </c>
      <c r="I548" t="s">
        <v>49</v>
      </c>
      <c r="J548" t="s">
        <v>33</v>
      </c>
    </row>
    <row r="549" spans="1:10" x14ac:dyDescent="0.35">
      <c r="A549" t="s">
        <v>1963</v>
      </c>
      <c r="B549" t="s">
        <v>1448</v>
      </c>
      <c r="C549" t="s">
        <v>99</v>
      </c>
      <c r="D549" t="s">
        <v>13</v>
      </c>
      <c r="E549" t="s">
        <v>37</v>
      </c>
      <c r="F549" t="s">
        <v>46</v>
      </c>
      <c r="G549" t="s">
        <v>1964</v>
      </c>
      <c r="H549" t="s">
        <v>1965</v>
      </c>
      <c r="I549" t="s">
        <v>49</v>
      </c>
      <c r="J549" t="s">
        <v>33</v>
      </c>
    </row>
    <row r="550" spans="1:10" x14ac:dyDescent="0.35">
      <c r="A550" t="s">
        <v>1966</v>
      </c>
      <c r="B550" t="s">
        <v>1967</v>
      </c>
      <c r="C550" t="s">
        <v>22</v>
      </c>
      <c r="D550" t="s">
        <v>53</v>
      </c>
      <c r="E550" t="s">
        <v>134</v>
      </c>
      <c r="F550" t="s">
        <v>15</v>
      </c>
      <c r="G550" t="s">
        <v>1968</v>
      </c>
      <c r="H550" t="s">
        <v>1969</v>
      </c>
      <c r="I550" t="s">
        <v>32</v>
      </c>
      <c r="J550" t="s">
        <v>64</v>
      </c>
    </row>
    <row r="551" spans="1:10" x14ac:dyDescent="0.35">
      <c r="A551" t="s">
        <v>1970</v>
      </c>
      <c r="B551" t="s">
        <v>1971</v>
      </c>
      <c r="C551" t="s">
        <v>108</v>
      </c>
      <c r="D551" t="s">
        <v>73</v>
      </c>
      <c r="E551" t="s">
        <v>134</v>
      </c>
      <c r="F551" t="s">
        <v>46</v>
      </c>
      <c r="G551" t="s">
        <v>1972</v>
      </c>
      <c r="H551" t="s">
        <v>1973</v>
      </c>
      <c r="I551" t="s">
        <v>49</v>
      </c>
      <c r="J551" t="s">
        <v>33</v>
      </c>
    </row>
    <row r="552" spans="1:10" x14ac:dyDescent="0.35">
      <c r="A552" t="s">
        <v>1974</v>
      </c>
      <c r="B552" t="s">
        <v>1300</v>
      </c>
      <c r="C552" t="s">
        <v>99</v>
      </c>
      <c r="D552" t="s">
        <v>23</v>
      </c>
      <c r="E552" t="s">
        <v>109</v>
      </c>
      <c r="F552" t="s">
        <v>74</v>
      </c>
      <c r="G552" t="s">
        <v>1975</v>
      </c>
      <c r="H552" t="s">
        <v>1976</v>
      </c>
      <c r="I552" t="s">
        <v>18</v>
      </c>
      <c r="J552" t="s">
        <v>19</v>
      </c>
    </row>
    <row r="553" spans="1:10" x14ac:dyDescent="0.35">
      <c r="A553" t="s">
        <v>1977</v>
      </c>
      <c r="B553" t="s">
        <v>261</v>
      </c>
      <c r="C553" t="s">
        <v>72</v>
      </c>
      <c r="D553" t="s">
        <v>23</v>
      </c>
      <c r="E553" t="s">
        <v>14</v>
      </c>
      <c r="F553" t="s">
        <v>79</v>
      </c>
      <c r="G553" t="s">
        <v>1978</v>
      </c>
      <c r="H553" t="s">
        <v>1979</v>
      </c>
      <c r="I553" t="s">
        <v>32</v>
      </c>
      <c r="J553" t="s">
        <v>19</v>
      </c>
    </row>
    <row r="554" spans="1:10" x14ac:dyDescent="0.35">
      <c r="A554" t="s">
        <v>1980</v>
      </c>
      <c r="B554" t="s">
        <v>923</v>
      </c>
      <c r="C554" t="s">
        <v>22</v>
      </c>
      <c r="D554" t="s">
        <v>73</v>
      </c>
      <c r="E554" t="s">
        <v>109</v>
      </c>
      <c r="F554" t="s">
        <v>46</v>
      </c>
      <c r="G554" t="s">
        <v>1981</v>
      </c>
      <c r="H554" t="s">
        <v>1982</v>
      </c>
      <c r="I554" t="s">
        <v>32</v>
      </c>
      <c r="J554" t="s">
        <v>41</v>
      </c>
    </row>
    <row r="555" spans="1:10" x14ac:dyDescent="0.35">
      <c r="A555" t="s">
        <v>1983</v>
      </c>
      <c r="B555" t="s">
        <v>309</v>
      </c>
      <c r="C555" t="s">
        <v>12</v>
      </c>
      <c r="D555" t="s">
        <v>44</v>
      </c>
      <c r="E555" t="s">
        <v>45</v>
      </c>
      <c r="F555" t="s">
        <v>74</v>
      </c>
      <c r="G555" t="s">
        <v>1984</v>
      </c>
      <c r="H555" t="s">
        <v>1985</v>
      </c>
      <c r="I555" t="s">
        <v>49</v>
      </c>
      <c r="J555" t="s">
        <v>64</v>
      </c>
    </row>
    <row r="556" spans="1:10" x14ac:dyDescent="0.35">
      <c r="A556" t="s">
        <v>1986</v>
      </c>
      <c r="B556" t="s">
        <v>610</v>
      </c>
      <c r="C556" t="s">
        <v>67</v>
      </c>
      <c r="D556" t="s">
        <v>44</v>
      </c>
      <c r="E556" t="s">
        <v>109</v>
      </c>
      <c r="F556" t="s">
        <v>38</v>
      </c>
      <c r="G556" t="s">
        <v>1987</v>
      </c>
      <c r="H556" t="s">
        <v>1988</v>
      </c>
      <c r="I556" t="s">
        <v>49</v>
      </c>
      <c r="J556" t="s">
        <v>64</v>
      </c>
    </row>
    <row r="557" spans="1:10" x14ac:dyDescent="0.35">
      <c r="A557" t="s">
        <v>1989</v>
      </c>
      <c r="B557" t="s">
        <v>438</v>
      </c>
      <c r="C557" t="s">
        <v>12</v>
      </c>
      <c r="D557" t="s">
        <v>73</v>
      </c>
      <c r="E557" t="s">
        <v>14</v>
      </c>
      <c r="F557" t="s">
        <v>79</v>
      </c>
      <c r="G557" t="s">
        <v>1990</v>
      </c>
      <c r="H557" t="s">
        <v>1991</v>
      </c>
      <c r="I557" t="s">
        <v>18</v>
      </c>
      <c r="J557" t="s">
        <v>33</v>
      </c>
    </row>
    <row r="558" spans="1:10" x14ac:dyDescent="0.35">
      <c r="A558" t="s">
        <v>1992</v>
      </c>
      <c r="B558" t="s">
        <v>801</v>
      </c>
      <c r="C558" t="s">
        <v>52</v>
      </c>
      <c r="D558" t="s">
        <v>73</v>
      </c>
      <c r="E558" t="s">
        <v>45</v>
      </c>
      <c r="F558" t="s">
        <v>15</v>
      </c>
      <c r="G558" t="s">
        <v>1993</v>
      </c>
      <c r="H558" t="s">
        <v>1994</v>
      </c>
      <c r="I558" t="s">
        <v>32</v>
      </c>
      <c r="J558" t="s">
        <v>19</v>
      </c>
    </row>
    <row r="559" spans="1:10" x14ac:dyDescent="0.35">
      <c r="A559" t="s">
        <v>1995</v>
      </c>
      <c r="B559" t="s">
        <v>594</v>
      </c>
      <c r="C559" t="s">
        <v>99</v>
      </c>
      <c r="D559" t="s">
        <v>13</v>
      </c>
      <c r="E559" t="s">
        <v>14</v>
      </c>
      <c r="F559" t="s">
        <v>25</v>
      </c>
      <c r="G559" t="s">
        <v>1996</v>
      </c>
      <c r="H559" t="s">
        <v>1997</v>
      </c>
      <c r="I559" t="s">
        <v>49</v>
      </c>
      <c r="J559" t="s">
        <v>41</v>
      </c>
    </row>
    <row r="560" spans="1:10" x14ac:dyDescent="0.35">
      <c r="A560" t="s">
        <v>1998</v>
      </c>
      <c r="B560" t="s">
        <v>1914</v>
      </c>
      <c r="C560" t="s">
        <v>108</v>
      </c>
      <c r="D560" t="s">
        <v>73</v>
      </c>
      <c r="E560" t="s">
        <v>134</v>
      </c>
      <c r="F560" t="s">
        <v>74</v>
      </c>
      <c r="G560" t="s">
        <v>1999</v>
      </c>
      <c r="H560" t="s">
        <v>2000</v>
      </c>
      <c r="I560" t="s">
        <v>18</v>
      </c>
      <c r="J560" t="s">
        <v>33</v>
      </c>
    </row>
    <row r="561" spans="1:10" x14ac:dyDescent="0.35">
      <c r="A561" t="s">
        <v>2001</v>
      </c>
      <c r="B561" t="s">
        <v>1948</v>
      </c>
      <c r="C561" t="s">
        <v>72</v>
      </c>
      <c r="D561" t="s">
        <v>36</v>
      </c>
      <c r="E561" t="s">
        <v>37</v>
      </c>
      <c r="F561" t="s">
        <v>38</v>
      </c>
      <c r="G561" t="s">
        <v>2002</v>
      </c>
      <c r="H561" t="s">
        <v>2003</v>
      </c>
      <c r="I561" t="s">
        <v>18</v>
      </c>
      <c r="J561" t="s">
        <v>41</v>
      </c>
    </row>
    <row r="562" spans="1:10" x14ac:dyDescent="0.35">
      <c r="A562" t="s">
        <v>2004</v>
      </c>
      <c r="B562" t="s">
        <v>557</v>
      </c>
      <c r="C562" t="s">
        <v>52</v>
      </c>
      <c r="D562" t="s">
        <v>44</v>
      </c>
      <c r="E562" t="s">
        <v>24</v>
      </c>
      <c r="F562" t="s">
        <v>46</v>
      </c>
      <c r="G562" t="s">
        <v>2005</v>
      </c>
      <c r="H562" t="s">
        <v>2006</v>
      </c>
      <c r="I562" t="s">
        <v>18</v>
      </c>
      <c r="J562" t="s">
        <v>64</v>
      </c>
    </row>
    <row r="563" spans="1:10" x14ac:dyDescent="0.35">
      <c r="A563" t="s">
        <v>2007</v>
      </c>
      <c r="B563" t="s">
        <v>351</v>
      </c>
      <c r="C563" t="s">
        <v>52</v>
      </c>
      <c r="D563" t="s">
        <v>73</v>
      </c>
      <c r="E563" t="s">
        <v>37</v>
      </c>
      <c r="F563" t="s">
        <v>15</v>
      </c>
      <c r="G563" t="s">
        <v>2008</v>
      </c>
      <c r="H563" t="s">
        <v>2009</v>
      </c>
      <c r="I563" t="s">
        <v>32</v>
      </c>
      <c r="J563" t="s">
        <v>41</v>
      </c>
    </row>
    <row r="564" spans="1:10" x14ac:dyDescent="0.35">
      <c r="A564" t="s">
        <v>2010</v>
      </c>
      <c r="B564" t="s">
        <v>279</v>
      </c>
      <c r="C564" t="s">
        <v>108</v>
      </c>
      <c r="D564" t="s">
        <v>23</v>
      </c>
      <c r="E564" t="s">
        <v>45</v>
      </c>
      <c r="F564" t="s">
        <v>38</v>
      </c>
      <c r="G564" t="s">
        <v>2011</v>
      </c>
      <c r="H564" t="s">
        <v>2012</v>
      </c>
      <c r="I564" t="s">
        <v>18</v>
      </c>
      <c r="J564" t="s">
        <v>41</v>
      </c>
    </row>
    <row r="565" spans="1:10" x14ac:dyDescent="0.35">
      <c r="A565" t="s">
        <v>2013</v>
      </c>
      <c r="B565" t="s">
        <v>1499</v>
      </c>
      <c r="C565" t="s">
        <v>22</v>
      </c>
      <c r="D565" t="s">
        <v>13</v>
      </c>
      <c r="E565" t="s">
        <v>24</v>
      </c>
      <c r="F565" t="s">
        <v>15</v>
      </c>
      <c r="G565" t="s">
        <v>2014</v>
      </c>
      <c r="H565" t="s">
        <v>2015</v>
      </c>
      <c r="I565" t="s">
        <v>32</v>
      </c>
      <c r="J565" t="s">
        <v>33</v>
      </c>
    </row>
    <row r="566" spans="1:10" x14ac:dyDescent="0.35">
      <c r="A566" t="s">
        <v>2016</v>
      </c>
      <c r="B566" t="s">
        <v>583</v>
      </c>
      <c r="C566" t="s">
        <v>108</v>
      </c>
      <c r="D566" t="s">
        <v>53</v>
      </c>
      <c r="E566" t="s">
        <v>109</v>
      </c>
      <c r="F566" t="s">
        <v>15</v>
      </c>
      <c r="G566" t="s">
        <v>2017</v>
      </c>
      <c r="H566" t="s">
        <v>2018</v>
      </c>
      <c r="I566" t="s">
        <v>49</v>
      </c>
      <c r="J566" t="s">
        <v>41</v>
      </c>
    </row>
    <row r="567" spans="1:10" x14ac:dyDescent="0.35">
      <c r="A567" t="s">
        <v>2019</v>
      </c>
      <c r="B567" t="s">
        <v>1618</v>
      </c>
      <c r="C567" t="s">
        <v>52</v>
      </c>
      <c r="D567" t="s">
        <v>23</v>
      </c>
      <c r="E567" t="s">
        <v>24</v>
      </c>
      <c r="F567" t="s">
        <v>25</v>
      </c>
      <c r="G567" t="s">
        <v>2020</v>
      </c>
      <c r="H567" t="s">
        <v>2021</v>
      </c>
      <c r="I567" t="s">
        <v>18</v>
      </c>
      <c r="J567" t="s">
        <v>41</v>
      </c>
    </row>
    <row r="568" spans="1:10" x14ac:dyDescent="0.35">
      <c r="A568" t="s">
        <v>2022</v>
      </c>
      <c r="B568" t="s">
        <v>201</v>
      </c>
      <c r="C568" t="s">
        <v>67</v>
      </c>
      <c r="D568" t="s">
        <v>36</v>
      </c>
      <c r="E568" t="s">
        <v>45</v>
      </c>
      <c r="F568" t="s">
        <v>46</v>
      </c>
      <c r="G568" t="s">
        <v>2023</v>
      </c>
      <c r="H568" t="s">
        <v>2024</v>
      </c>
      <c r="I568" t="s">
        <v>49</v>
      </c>
      <c r="J568" t="s">
        <v>41</v>
      </c>
    </row>
    <row r="569" spans="1:10" x14ac:dyDescent="0.35">
      <c r="A569" t="s">
        <v>2025</v>
      </c>
      <c r="B569" t="s">
        <v>950</v>
      </c>
      <c r="C569" t="s">
        <v>99</v>
      </c>
      <c r="D569" t="s">
        <v>44</v>
      </c>
      <c r="E569" t="s">
        <v>45</v>
      </c>
      <c r="F569" t="s">
        <v>15</v>
      </c>
      <c r="G569" t="s">
        <v>2026</v>
      </c>
      <c r="H569" t="s">
        <v>2027</v>
      </c>
      <c r="I569" t="s">
        <v>32</v>
      </c>
      <c r="J569" t="s">
        <v>19</v>
      </c>
    </row>
    <row r="570" spans="1:10" x14ac:dyDescent="0.35">
      <c r="A570" t="s">
        <v>2028</v>
      </c>
      <c r="B570" t="s">
        <v>1145</v>
      </c>
      <c r="C570" t="s">
        <v>99</v>
      </c>
      <c r="D570" t="s">
        <v>73</v>
      </c>
      <c r="E570" t="s">
        <v>24</v>
      </c>
      <c r="F570" t="s">
        <v>46</v>
      </c>
      <c r="G570" t="s">
        <v>2029</v>
      </c>
      <c r="H570" t="s">
        <v>2030</v>
      </c>
      <c r="I570" t="s">
        <v>18</v>
      </c>
      <c r="J570" t="s">
        <v>19</v>
      </c>
    </row>
    <row r="571" spans="1:10" x14ac:dyDescent="0.35">
      <c r="A571" t="s">
        <v>2031</v>
      </c>
      <c r="B571" t="s">
        <v>1156</v>
      </c>
      <c r="C571" t="s">
        <v>22</v>
      </c>
      <c r="D571" t="s">
        <v>73</v>
      </c>
      <c r="E571" t="s">
        <v>45</v>
      </c>
      <c r="F571" t="s">
        <v>25</v>
      </c>
      <c r="G571" t="s">
        <v>2032</v>
      </c>
      <c r="H571" t="s">
        <v>2033</v>
      </c>
      <c r="I571" t="s">
        <v>18</v>
      </c>
      <c r="J571" t="s">
        <v>41</v>
      </c>
    </row>
    <row r="572" spans="1:10" x14ac:dyDescent="0.35">
      <c r="A572" t="s">
        <v>2034</v>
      </c>
      <c r="B572" t="s">
        <v>233</v>
      </c>
      <c r="C572" t="s">
        <v>72</v>
      </c>
      <c r="D572" t="s">
        <v>23</v>
      </c>
      <c r="E572" t="s">
        <v>134</v>
      </c>
      <c r="F572" t="s">
        <v>38</v>
      </c>
      <c r="G572" t="s">
        <v>2035</v>
      </c>
      <c r="H572" t="s">
        <v>2036</v>
      </c>
      <c r="I572" t="s">
        <v>32</v>
      </c>
      <c r="J572" t="s">
        <v>19</v>
      </c>
    </row>
    <row r="573" spans="1:10" x14ac:dyDescent="0.35">
      <c r="A573" t="s">
        <v>2037</v>
      </c>
      <c r="B573" t="s">
        <v>1429</v>
      </c>
      <c r="C573" t="s">
        <v>99</v>
      </c>
      <c r="D573" t="s">
        <v>23</v>
      </c>
      <c r="E573" t="s">
        <v>109</v>
      </c>
      <c r="F573" t="s">
        <v>25</v>
      </c>
      <c r="G573" t="s">
        <v>2038</v>
      </c>
      <c r="H573" t="s">
        <v>2039</v>
      </c>
      <c r="I573" t="s">
        <v>18</v>
      </c>
      <c r="J573" t="s">
        <v>64</v>
      </c>
    </row>
    <row r="574" spans="1:10" x14ac:dyDescent="0.35">
      <c r="A574" t="s">
        <v>2040</v>
      </c>
      <c r="B574" t="s">
        <v>2041</v>
      </c>
      <c r="C574" t="s">
        <v>12</v>
      </c>
      <c r="D574" t="s">
        <v>36</v>
      </c>
      <c r="E574" t="s">
        <v>14</v>
      </c>
      <c r="F574" t="s">
        <v>38</v>
      </c>
      <c r="G574" t="s">
        <v>2042</v>
      </c>
      <c r="H574" t="s">
        <v>2043</v>
      </c>
      <c r="I574" t="s">
        <v>18</v>
      </c>
      <c r="J574" t="s">
        <v>19</v>
      </c>
    </row>
    <row r="575" spans="1:10" x14ac:dyDescent="0.35">
      <c r="A575" t="s">
        <v>2044</v>
      </c>
      <c r="B575" t="s">
        <v>2045</v>
      </c>
      <c r="C575" t="s">
        <v>67</v>
      </c>
      <c r="D575" t="s">
        <v>36</v>
      </c>
      <c r="E575" t="s">
        <v>24</v>
      </c>
      <c r="F575" t="s">
        <v>15</v>
      </c>
      <c r="G575" t="s">
        <v>2046</v>
      </c>
      <c r="H575" t="s">
        <v>2047</v>
      </c>
      <c r="I575" t="s">
        <v>49</v>
      </c>
      <c r="J575" t="s">
        <v>64</v>
      </c>
    </row>
    <row r="576" spans="1:10" x14ac:dyDescent="0.35">
      <c r="A576" t="s">
        <v>2048</v>
      </c>
      <c r="B576" t="s">
        <v>398</v>
      </c>
      <c r="C576" t="s">
        <v>108</v>
      </c>
      <c r="D576" t="s">
        <v>36</v>
      </c>
      <c r="E576" t="s">
        <v>37</v>
      </c>
      <c r="F576" t="s">
        <v>74</v>
      </c>
      <c r="G576" t="s">
        <v>2049</v>
      </c>
      <c r="H576" t="s">
        <v>2050</v>
      </c>
      <c r="I576" t="s">
        <v>18</v>
      </c>
      <c r="J576" t="s">
        <v>64</v>
      </c>
    </row>
    <row r="577" spans="1:10" x14ac:dyDescent="0.35">
      <c r="A577" t="s">
        <v>2051</v>
      </c>
      <c r="B577" t="s">
        <v>450</v>
      </c>
      <c r="C577" t="s">
        <v>108</v>
      </c>
      <c r="D577" t="s">
        <v>73</v>
      </c>
      <c r="E577" t="s">
        <v>45</v>
      </c>
      <c r="F577" t="s">
        <v>38</v>
      </c>
      <c r="G577" t="s">
        <v>2052</v>
      </c>
      <c r="H577" t="s">
        <v>2053</v>
      </c>
      <c r="I577" t="s">
        <v>32</v>
      </c>
      <c r="J577" t="s">
        <v>19</v>
      </c>
    </row>
    <row r="578" spans="1:10" x14ac:dyDescent="0.35">
      <c r="A578" t="s">
        <v>2054</v>
      </c>
      <c r="B578" t="s">
        <v>2055</v>
      </c>
      <c r="C578" t="s">
        <v>99</v>
      </c>
      <c r="D578" t="s">
        <v>23</v>
      </c>
      <c r="E578" t="s">
        <v>134</v>
      </c>
      <c r="F578" t="s">
        <v>15</v>
      </c>
      <c r="G578" t="s">
        <v>2056</v>
      </c>
      <c r="H578" t="s">
        <v>2057</v>
      </c>
      <c r="I578" t="s">
        <v>32</v>
      </c>
      <c r="J578" t="s">
        <v>41</v>
      </c>
    </row>
    <row r="579" spans="1:10" x14ac:dyDescent="0.35">
      <c r="A579" t="s">
        <v>2058</v>
      </c>
      <c r="B579" t="s">
        <v>473</v>
      </c>
      <c r="C579" t="s">
        <v>12</v>
      </c>
      <c r="D579" t="s">
        <v>36</v>
      </c>
      <c r="E579" t="s">
        <v>134</v>
      </c>
      <c r="F579" t="s">
        <v>15</v>
      </c>
      <c r="G579" t="s">
        <v>2059</v>
      </c>
      <c r="H579" t="s">
        <v>2060</v>
      </c>
      <c r="I579" t="s">
        <v>32</v>
      </c>
      <c r="J579" t="s">
        <v>64</v>
      </c>
    </row>
    <row r="580" spans="1:10" x14ac:dyDescent="0.35">
      <c r="A580" t="s">
        <v>2061</v>
      </c>
      <c r="B580" t="s">
        <v>1781</v>
      </c>
      <c r="C580" t="s">
        <v>72</v>
      </c>
      <c r="D580" t="s">
        <v>44</v>
      </c>
      <c r="E580" t="s">
        <v>24</v>
      </c>
      <c r="F580" t="s">
        <v>46</v>
      </c>
      <c r="G580" t="s">
        <v>2062</v>
      </c>
      <c r="H580" t="s">
        <v>2063</v>
      </c>
      <c r="I580" t="s">
        <v>49</v>
      </c>
      <c r="J580" t="s">
        <v>33</v>
      </c>
    </row>
    <row r="581" spans="1:10" x14ac:dyDescent="0.35">
      <c r="A581" t="s">
        <v>2064</v>
      </c>
      <c r="B581" t="s">
        <v>786</v>
      </c>
      <c r="C581" t="s">
        <v>108</v>
      </c>
      <c r="D581" t="s">
        <v>13</v>
      </c>
      <c r="E581" t="s">
        <v>109</v>
      </c>
      <c r="F581" t="s">
        <v>38</v>
      </c>
      <c r="G581" t="s">
        <v>2065</v>
      </c>
      <c r="H581" t="s">
        <v>2066</v>
      </c>
      <c r="I581" t="s">
        <v>32</v>
      </c>
      <c r="J581" t="s">
        <v>64</v>
      </c>
    </row>
    <row r="582" spans="1:10" x14ac:dyDescent="0.35">
      <c r="A582" t="s">
        <v>2067</v>
      </c>
      <c r="B582" t="s">
        <v>2068</v>
      </c>
      <c r="C582" t="s">
        <v>99</v>
      </c>
      <c r="D582" t="s">
        <v>36</v>
      </c>
      <c r="E582" t="s">
        <v>134</v>
      </c>
      <c r="F582" t="s">
        <v>46</v>
      </c>
      <c r="G582" t="s">
        <v>2069</v>
      </c>
      <c r="H582" t="s">
        <v>2070</v>
      </c>
      <c r="I582" t="s">
        <v>18</v>
      </c>
      <c r="J582" t="s">
        <v>64</v>
      </c>
    </row>
    <row r="583" spans="1:10" x14ac:dyDescent="0.35">
      <c r="A583" t="s">
        <v>2071</v>
      </c>
      <c r="B583" t="s">
        <v>2072</v>
      </c>
      <c r="C583" t="s">
        <v>99</v>
      </c>
      <c r="D583" t="s">
        <v>13</v>
      </c>
      <c r="E583" t="s">
        <v>109</v>
      </c>
      <c r="F583" t="s">
        <v>46</v>
      </c>
      <c r="G583" t="s">
        <v>2073</v>
      </c>
      <c r="H583" t="s">
        <v>2074</v>
      </c>
      <c r="I583" t="s">
        <v>32</v>
      </c>
      <c r="J583" t="s">
        <v>64</v>
      </c>
    </row>
    <row r="584" spans="1:10" x14ac:dyDescent="0.35">
      <c r="A584" t="s">
        <v>2075</v>
      </c>
      <c r="B584" t="s">
        <v>286</v>
      </c>
      <c r="C584" t="s">
        <v>52</v>
      </c>
      <c r="D584" t="s">
        <v>13</v>
      </c>
      <c r="E584" t="s">
        <v>134</v>
      </c>
      <c r="F584" t="s">
        <v>38</v>
      </c>
      <c r="G584" t="s">
        <v>2076</v>
      </c>
      <c r="H584" t="s">
        <v>2077</v>
      </c>
      <c r="I584" t="s">
        <v>18</v>
      </c>
      <c r="J584" t="s">
        <v>64</v>
      </c>
    </row>
    <row r="585" spans="1:10" x14ac:dyDescent="0.35">
      <c r="A585" t="s">
        <v>2078</v>
      </c>
      <c r="B585" t="s">
        <v>1602</v>
      </c>
      <c r="C585" t="s">
        <v>72</v>
      </c>
      <c r="D585" t="s">
        <v>53</v>
      </c>
      <c r="E585" t="s">
        <v>14</v>
      </c>
      <c r="F585" t="s">
        <v>74</v>
      </c>
      <c r="G585" t="s">
        <v>2079</v>
      </c>
      <c r="H585" t="s">
        <v>2080</v>
      </c>
      <c r="I585" t="s">
        <v>32</v>
      </c>
      <c r="J585" t="s">
        <v>33</v>
      </c>
    </row>
    <row r="586" spans="1:10" x14ac:dyDescent="0.35">
      <c r="A586" t="s">
        <v>2081</v>
      </c>
      <c r="B586" t="s">
        <v>1363</v>
      </c>
      <c r="C586" t="s">
        <v>52</v>
      </c>
      <c r="D586" t="s">
        <v>23</v>
      </c>
      <c r="E586" t="s">
        <v>14</v>
      </c>
      <c r="F586" t="s">
        <v>38</v>
      </c>
      <c r="G586" t="s">
        <v>2082</v>
      </c>
      <c r="H586" t="s">
        <v>2083</v>
      </c>
      <c r="I586" t="s">
        <v>32</v>
      </c>
      <c r="J586" t="s">
        <v>41</v>
      </c>
    </row>
    <row r="587" spans="1:10" x14ac:dyDescent="0.35">
      <c r="A587" t="s">
        <v>2084</v>
      </c>
      <c r="B587" t="s">
        <v>2085</v>
      </c>
      <c r="C587" t="s">
        <v>22</v>
      </c>
      <c r="D587" t="s">
        <v>73</v>
      </c>
      <c r="E587" t="s">
        <v>24</v>
      </c>
      <c r="F587" t="s">
        <v>25</v>
      </c>
      <c r="G587" t="s">
        <v>2086</v>
      </c>
      <c r="H587" t="s">
        <v>2087</v>
      </c>
      <c r="I587" t="s">
        <v>32</v>
      </c>
      <c r="J587" t="s">
        <v>41</v>
      </c>
    </row>
    <row r="588" spans="1:10" x14ac:dyDescent="0.35">
      <c r="A588" t="s">
        <v>2088</v>
      </c>
      <c r="B588" t="s">
        <v>527</v>
      </c>
      <c r="C588" t="s">
        <v>22</v>
      </c>
      <c r="D588" t="s">
        <v>23</v>
      </c>
      <c r="E588" t="s">
        <v>134</v>
      </c>
      <c r="F588" t="s">
        <v>38</v>
      </c>
      <c r="G588" t="s">
        <v>2089</v>
      </c>
      <c r="H588" t="s">
        <v>2090</v>
      </c>
      <c r="I588" t="s">
        <v>18</v>
      </c>
      <c r="J588" t="s">
        <v>64</v>
      </c>
    </row>
    <row r="589" spans="1:10" x14ac:dyDescent="0.35">
      <c r="A589" t="s">
        <v>2091</v>
      </c>
      <c r="B589" t="s">
        <v>2092</v>
      </c>
      <c r="C589" t="s">
        <v>22</v>
      </c>
      <c r="D589" t="s">
        <v>73</v>
      </c>
      <c r="E589" t="s">
        <v>109</v>
      </c>
      <c r="F589" t="s">
        <v>25</v>
      </c>
      <c r="G589" t="s">
        <v>2093</v>
      </c>
      <c r="H589" t="s">
        <v>2094</v>
      </c>
      <c r="I589" t="s">
        <v>49</v>
      </c>
      <c r="J589" t="s">
        <v>64</v>
      </c>
    </row>
    <row r="590" spans="1:10" x14ac:dyDescent="0.35">
      <c r="A590" t="s">
        <v>2095</v>
      </c>
      <c r="B590" t="s">
        <v>2096</v>
      </c>
      <c r="C590" t="s">
        <v>22</v>
      </c>
      <c r="D590" t="s">
        <v>73</v>
      </c>
      <c r="E590" t="s">
        <v>24</v>
      </c>
      <c r="F590" t="s">
        <v>46</v>
      </c>
      <c r="G590" t="s">
        <v>2097</v>
      </c>
      <c r="H590" t="s">
        <v>2098</v>
      </c>
      <c r="I590" t="s">
        <v>18</v>
      </c>
      <c r="J590" t="s">
        <v>64</v>
      </c>
    </row>
    <row r="591" spans="1:10" x14ac:dyDescent="0.35">
      <c r="A591" t="s">
        <v>2099</v>
      </c>
      <c r="B591" t="s">
        <v>1739</v>
      </c>
      <c r="C591" t="s">
        <v>67</v>
      </c>
      <c r="D591" t="s">
        <v>23</v>
      </c>
      <c r="E591" t="s">
        <v>45</v>
      </c>
      <c r="F591" t="s">
        <v>74</v>
      </c>
      <c r="G591" t="s">
        <v>2100</v>
      </c>
      <c r="H591" t="s">
        <v>2101</v>
      </c>
      <c r="I591" t="s">
        <v>49</v>
      </c>
      <c r="J591" t="s">
        <v>41</v>
      </c>
    </row>
    <row r="592" spans="1:10" x14ac:dyDescent="0.35">
      <c r="A592" t="s">
        <v>2102</v>
      </c>
      <c r="B592" t="s">
        <v>2103</v>
      </c>
      <c r="C592" t="s">
        <v>67</v>
      </c>
      <c r="D592" t="s">
        <v>73</v>
      </c>
      <c r="E592" t="s">
        <v>134</v>
      </c>
      <c r="F592" t="s">
        <v>74</v>
      </c>
      <c r="G592" t="s">
        <v>2104</v>
      </c>
      <c r="H592" t="s">
        <v>2105</v>
      </c>
      <c r="I592" t="s">
        <v>32</v>
      </c>
      <c r="J592" t="s">
        <v>33</v>
      </c>
    </row>
    <row r="593" spans="1:10" x14ac:dyDescent="0.35">
      <c r="A593" t="s">
        <v>2106</v>
      </c>
      <c r="B593" t="s">
        <v>1686</v>
      </c>
      <c r="C593" t="s">
        <v>67</v>
      </c>
      <c r="D593" t="s">
        <v>73</v>
      </c>
      <c r="E593" t="s">
        <v>45</v>
      </c>
      <c r="F593" t="s">
        <v>15</v>
      </c>
      <c r="G593" t="s">
        <v>2107</v>
      </c>
      <c r="H593" t="s">
        <v>2108</v>
      </c>
      <c r="I593" t="s">
        <v>18</v>
      </c>
      <c r="J593" t="s">
        <v>41</v>
      </c>
    </row>
    <row r="594" spans="1:10" x14ac:dyDescent="0.35">
      <c r="A594" t="s">
        <v>2109</v>
      </c>
      <c r="B594" t="s">
        <v>103</v>
      </c>
      <c r="C594" t="s">
        <v>99</v>
      </c>
      <c r="D594" t="s">
        <v>53</v>
      </c>
      <c r="E594" t="s">
        <v>24</v>
      </c>
      <c r="F594" t="s">
        <v>25</v>
      </c>
      <c r="G594" t="s">
        <v>2110</v>
      </c>
      <c r="H594" t="s">
        <v>2111</v>
      </c>
      <c r="I594" t="s">
        <v>18</v>
      </c>
      <c r="J594" t="s">
        <v>33</v>
      </c>
    </row>
    <row r="595" spans="1:10" x14ac:dyDescent="0.35">
      <c r="A595" t="s">
        <v>2112</v>
      </c>
      <c r="B595" t="s">
        <v>261</v>
      </c>
      <c r="C595" t="s">
        <v>67</v>
      </c>
      <c r="D595" t="s">
        <v>13</v>
      </c>
      <c r="E595" t="s">
        <v>24</v>
      </c>
      <c r="F595" t="s">
        <v>25</v>
      </c>
      <c r="G595" t="s">
        <v>2113</v>
      </c>
      <c r="H595" t="s">
        <v>2114</v>
      </c>
      <c r="I595" t="s">
        <v>49</v>
      </c>
      <c r="J595" t="s">
        <v>19</v>
      </c>
    </row>
    <row r="596" spans="1:10" x14ac:dyDescent="0.35">
      <c r="A596" t="s">
        <v>2115</v>
      </c>
      <c r="B596" t="s">
        <v>1743</v>
      </c>
      <c r="C596" t="s">
        <v>22</v>
      </c>
      <c r="D596" t="s">
        <v>13</v>
      </c>
      <c r="E596" t="s">
        <v>37</v>
      </c>
      <c r="F596" t="s">
        <v>25</v>
      </c>
      <c r="G596" t="s">
        <v>2116</v>
      </c>
      <c r="H596" t="s">
        <v>2117</v>
      </c>
      <c r="I596" t="s">
        <v>49</v>
      </c>
      <c r="J596" t="s">
        <v>41</v>
      </c>
    </row>
    <row r="597" spans="1:10" x14ac:dyDescent="0.35">
      <c r="A597" t="s">
        <v>2118</v>
      </c>
      <c r="B597" t="s">
        <v>317</v>
      </c>
      <c r="C597" t="s">
        <v>72</v>
      </c>
      <c r="D597" t="s">
        <v>36</v>
      </c>
      <c r="E597" t="s">
        <v>134</v>
      </c>
      <c r="F597" t="s">
        <v>74</v>
      </c>
      <c r="G597" t="s">
        <v>2119</v>
      </c>
      <c r="H597" t="s">
        <v>2120</v>
      </c>
      <c r="I597" t="s">
        <v>18</v>
      </c>
      <c r="J597" t="s">
        <v>19</v>
      </c>
    </row>
    <row r="598" spans="1:10" x14ac:dyDescent="0.35">
      <c r="A598" t="s">
        <v>2121</v>
      </c>
      <c r="B598" t="s">
        <v>1039</v>
      </c>
      <c r="C598" t="s">
        <v>99</v>
      </c>
      <c r="D598" t="s">
        <v>44</v>
      </c>
      <c r="E598" t="s">
        <v>37</v>
      </c>
      <c r="F598" t="s">
        <v>46</v>
      </c>
      <c r="G598" t="s">
        <v>2122</v>
      </c>
      <c r="H598" t="s">
        <v>2123</v>
      </c>
      <c r="I598" t="s">
        <v>49</v>
      </c>
      <c r="J598" t="s">
        <v>19</v>
      </c>
    </row>
    <row r="599" spans="1:10" x14ac:dyDescent="0.35">
      <c r="A599" t="s">
        <v>2124</v>
      </c>
      <c r="B599" t="s">
        <v>1467</v>
      </c>
      <c r="C599" t="s">
        <v>12</v>
      </c>
      <c r="D599" t="s">
        <v>44</v>
      </c>
      <c r="E599" t="s">
        <v>45</v>
      </c>
      <c r="F599" t="s">
        <v>15</v>
      </c>
      <c r="G599" t="s">
        <v>2125</v>
      </c>
      <c r="H599" t="s">
        <v>2126</v>
      </c>
      <c r="I599" t="s">
        <v>32</v>
      </c>
      <c r="J599" t="s">
        <v>41</v>
      </c>
    </row>
    <row r="600" spans="1:10" x14ac:dyDescent="0.35">
      <c r="A600" t="s">
        <v>2127</v>
      </c>
      <c r="B600" t="s">
        <v>261</v>
      </c>
      <c r="C600" t="s">
        <v>22</v>
      </c>
      <c r="D600" t="s">
        <v>53</v>
      </c>
      <c r="E600" t="s">
        <v>109</v>
      </c>
      <c r="F600" t="s">
        <v>25</v>
      </c>
      <c r="G600" t="s">
        <v>2128</v>
      </c>
      <c r="H600" t="s">
        <v>2129</v>
      </c>
      <c r="I600" t="s">
        <v>49</v>
      </c>
      <c r="J600" t="s">
        <v>19</v>
      </c>
    </row>
    <row r="601" spans="1:10" x14ac:dyDescent="0.35">
      <c r="A601" t="s">
        <v>2130</v>
      </c>
      <c r="B601" t="s">
        <v>519</v>
      </c>
      <c r="C601" t="s">
        <v>72</v>
      </c>
      <c r="D601" t="s">
        <v>53</v>
      </c>
      <c r="E601" t="s">
        <v>37</v>
      </c>
      <c r="F601" t="s">
        <v>15</v>
      </c>
      <c r="G601" t="s">
        <v>2131</v>
      </c>
      <c r="H601" t="s">
        <v>2132</v>
      </c>
      <c r="I601" t="s">
        <v>49</v>
      </c>
      <c r="J601" t="s">
        <v>64</v>
      </c>
    </row>
    <row r="602" spans="1:10" x14ac:dyDescent="0.35">
      <c r="A602" t="s">
        <v>2133</v>
      </c>
      <c r="B602" t="s">
        <v>1788</v>
      </c>
      <c r="C602" t="s">
        <v>108</v>
      </c>
      <c r="D602" t="s">
        <v>73</v>
      </c>
      <c r="E602" t="s">
        <v>109</v>
      </c>
      <c r="F602" t="s">
        <v>46</v>
      </c>
      <c r="G602" t="s">
        <v>2134</v>
      </c>
      <c r="H602" t="s">
        <v>2135</v>
      </c>
      <c r="I602" t="s">
        <v>49</v>
      </c>
      <c r="J602" t="s">
        <v>33</v>
      </c>
    </row>
    <row r="603" spans="1:10" x14ac:dyDescent="0.35">
      <c r="A603" t="s">
        <v>2136</v>
      </c>
      <c r="B603" t="s">
        <v>158</v>
      </c>
      <c r="C603" t="s">
        <v>108</v>
      </c>
      <c r="D603" t="s">
        <v>53</v>
      </c>
      <c r="E603" t="s">
        <v>37</v>
      </c>
      <c r="F603" t="s">
        <v>25</v>
      </c>
      <c r="G603" t="s">
        <v>2137</v>
      </c>
      <c r="H603" t="s">
        <v>2138</v>
      </c>
      <c r="I603" t="s">
        <v>32</v>
      </c>
      <c r="J603" t="s">
        <v>19</v>
      </c>
    </row>
    <row r="604" spans="1:10" x14ac:dyDescent="0.35">
      <c r="A604" t="s">
        <v>2139</v>
      </c>
      <c r="B604" t="s">
        <v>694</v>
      </c>
      <c r="C604" t="s">
        <v>12</v>
      </c>
      <c r="D604" t="s">
        <v>13</v>
      </c>
      <c r="E604" t="s">
        <v>109</v>
      </c>
      <c r="F604" t="s">
        <v>15</v>
      </c>
      <c r="G604" t="s">
        <v>2140</v>
      </c>
      <c r="H604" t="s">
        <v>2141</v>
      </c>
      <c r="I604" t="s">
        <v>49</v>
      </c>
      <c r="J604" t="s">
        <v>64</v>
      </c>
    </row>
    <row r="605" spans="1:10" x14ac:dyDescent="0.35">
      <c r="A605" t="s">
        <v>2142</v>
      </c>
      <c r="B605" t="s">
        <v>984</v>
      </c>
      <c r="C605" t="s">
        <v>108</v>
      </c>
      <c r="D605" t="s">
        <v>73</v>
      </c>
      <c r="E605" t="s">
        <v>134</v>
      </c>
      <c r="F605" t="s">
        <v>79</v>
      </c>
      <c r="G605" t="s">
        <v>2143</v>
      </c>
      <c r="H605" t="s">
        <v>2144</v>
      </c>
      <c r="I605" t="s">
        <v>18</v>
      </c>
      <c r="J605" t="s">
        <v>19</v>
      </c>
    </row>
    <row r="606" spans="1:10" x14ac:dyDescent="0.35">
      <c r="A606" t="s">
        <v>2145</v>
      </c>
      <c r="B606" t="s">
        <v>249</v>
      </c>
      <c r="C606" t="s">
        <v>52</v>
      </c>
      <c r="D606" t="s">
        <v>53</v>
      </c>
      <c r="E606" t="s">
        <v>45</v>
      </c>
      <c r="F606" t="s">
        <v>74</v>
      </c>
      <c r="G606" t="s">
        <v>2146</v>
      </c>
      <c r="H606" t="s">
        <v>2147</v>
      </c>
      <c r="I606" t="s">
        <v>18</v>
      </c>
      <c r="J606" t="s">
        <v>41</v>
      </c>
    </row>
    <row r="607" spans="1:10" x14ac:dyDescent="0.35">
      <c r="A607" t="s">
        <v>2148</v>
      </c>
      <c r="B607" t="s">
        <v>2149</v>
      </c>
      <c r="C607" t="s">
        <v>108</v>
      </c>
      <c r="D607" t="s">
        <v>13</v>
      </c>
      <c r="E607" t="s">
        <v>109</v>
      </c>
      <c r="F607" t="s">
        <v>25</v>
      </c>
      <c r="G607" t="s">
        <v>2150</v>
      </c>
      <c r="H607" t="s">
        <v>2151</v>
      </c>
      <c r="I607" t="s">
        <v>18</v>
      </c>
      <c r="J607" t="s">
        <v>41</v>
      </c>
    </row>
    <row r="608" spans="1:10" x14ac:dyDescent="0.35">
      <c r="A608" t="s">
        <v>2152</v>
      </c>
      <c r="B608" t="s">
        <v>454</v>
      </c>
      <c r="C608" t="s">
        <v>12</v>
      </c>
      <c r="D608" t="s">
        <v>44</v>
      </c>
      <c r="E608" t="s">
        <v>14</v>
      </c>
      <c r="F608" t="s">
        <v>46</v>
      </c>
      <c r="G608" t="s">
        <v>2153</v>
      </c>
      <c r="H608" t="s">
        <v>2154</v>
      </c>
      <c r="I608" t="s">
        <v>49</v>
      </c>
      <c r="J608" t="s">
        <v>64</v>
      </c>
    </row>
    <row r="609" spans="1:10" x14ac:dyDescent="0.35">
      <c r="A609" t="s">
        <v>2155</v>
      </c>
      <c r="B609" t="s">
        <v>2156</v>
      </c>
      <c r="C609" t="s">
        <v>22</v>
      </c>
      <c r="D609" t="s">
        <v>23</v>
      </c>
      <c r="E609" t="s">
        <v>45</v>
      </c>
      <c r="F609" t="s">
        <v>38</v>
      </c>
      <c r="G609" t="s">
        <v>2157</v>
      </c>
      <c r="H609" t="s">
        <v>2158</v>
      </c>
      <c r="I609" t="s">
        <v>18</v>
      </c>
      <c r="J609" t="s">
        <v>41</v>
      </c>
    </row>
    <row r="610" spans="1:10" x14ac:dyDescent="0.35">
      <c r="A610" t="s">
        <v>2159</v>
      </c>
      <c r="B610" t="s">
        <v>174</v>
      </c>
      <c r="C610" t="s">
        <v>108</v>
      </c>
      <c r="D610" t="s">
        <v>36</v>
      </c>
      <c r="E610" t="s">
        <v>14</v>
      </c>
      <c r="F610" t="s">
        <v>46</v>
      </c>
      <c r="G610" t="s">
        <v>2160</v>
      </c>
      <c r="H610" t="s">
        <v>2161</v>
      </c>
      <c r="I610" t="s">
        <v>49</v>
      </c>
      <c r="J610" t="s">
        <v>64</v>
      </c>
    </row>
    <row r="611" spans="1:10" x14ac:dyDescent="0.35">
      <c r="A611" t="s">
        <v>2162</v>
      </c>
      <c r="B611" t="s">
        <v>1918</v>
      </c>
      <c r="C611" t="s">
        <v>99</v>
      </c>
      <c r="D611" t="s">
        <v>36</v>
      </c>
      <c r="E611" t="s">
        <v>109</v>
      </c>
      <c r="F611" t="s">
        <v>38</v>
      </c>
      <c r="G611" t="s">
        <v>2163</v>
      </c>
      <c r="H611" t="s">
        <v>2164</v>
      </c>
      <c r="I611" t="s">
        <v>18</v>
      </c>
      <c r="J611" t="s">
        <v>19</v>
      </c>
    </row>
    <row r="612" spans="1:10" x14ac:dyDescent="0.35">
      <c r="A612" t="s">
        <v>2165</v>
      </c>
      <c r="B612" t="s">
        <v>2166</v>
      </c>
      <c r="C612" t="s">
        <v>99</v>
      </c>
      <c r="D612" t="s">
        <v>73</v>
      </c>
      <c r="E612" t="s">
        <v>37</v>
      </c>
      <c r="F612" t="s">
        <v>79</v>
      </c>
      <c r="G612" t="s">
        <v>2167</v>
      </c>
      <c r="H612" t="s">
        <v>2168</v>
      </c>
      <c r="I612" t="s">
        <v>32</v>
      </c>
      <c r="J612" t="s">
        <v>41</v>
      </c>
    </row>
    <row r="613" spans="1:10" x14ac:dyDescent="0.35">
      <c r="A613" t="s">
        <v>2169</v>
      </c>
      <c r="B613" t="s">
        <v>1141</v>
      </c>
      <c r="C613" t="s">
        <v>22</v>
      </c>
      <c r="D613" t="s">
        <v>53</v>
      </c>
      <c r="E613" t="s">
        <v>134</v>
      </c>
      <c r="F613" t="s">
        <v>74</v>
      </c>
      <c r="G613" t="s">
        <v>2170</v>
      </c>
      <c r="H613" t="s">
        <v>2171</v>
      </c>
      <c r="I613" t="s">
        <v>18</v>
      </c>
      <c r="J613" t="s">
        <v>64</v>
      </c>
    </row>
    <row r="614" spans="1:10" x14ac:dyDescent="0.35">
      <c r="A614" t="s">
        <v>2172</v>
      </c>
      <c r="B614" t="s">
        <v>29</v>
      </c>
      <c r="C614" t="s">
        <v>12</v>
      </c>
      <c r="D614" t="s">
        <v>13</v>
      </c>
      <c r="E614" t="s">
        <v>109</v>
      </c>
      <c r="F614" t="s">
        <v>79</v>
      </c>
      <c r="G614" t="s">
        <v>2173</v>
      </c>
      <c r="H614" t="s">
        <v>2174</v>
      </c>
      <c r="I614" t="s">
        <v>49</v>
      </c>
      <c r="J614" t="s">
        <v>41</v>
      </c>
    </row>
    <row r="615" spans="1:10" x14ac:dyDescent="0.35">
      <c r="A615" t="s">
        <v>2175</v>
      </c>
      <c r="B615" t="s">
        <v>2176</v>
      </c>
      <c r="C615" t="s">
        <v>22</v>
      </c>
      <c r="D615" t="s">
        <v>13</v>
      </c>
      <c r="E615" t="s">
        <v>45</v>
      </c>
      <c r="F615" t="s">
        <v>46</v>
      </c>
      <c r="G615" t="s">
        <v>2177</v>
      </c>
      <c r="H615" t="s">
        <v>2178</v>
      </c>
      <c r="I615" t="s">
        <v>18</v>
      </c>
      <c r="J615" t="s">
        <v>41</v>
      </c>
    </row>
    <row r="616" spans="1:10" x14ac:dyDescent="0.35">
      <c r="A616" t="s">
        <v>2179</v>
      </c>
      <c r="B616" t="s">
        <v>90</v>
      </c>
      <c r="C616" t="s">
        <v>108</v>
      </c>
      <c r="D616" t="s">
        <v>44</v>
      </c>
      <c r="E616" t="s">
        <v>24</v>
      </c>
      <c r="F616" t="s">
        <v>25</v>
      </c>
      <c r="G616" t="s">
        <v>2180</v>
      </c>
      <c r="H616" t="s">
        <v>2181</v>
      </c>
      <c r="I616" t="s">
        <v>32</v>
      </c>
      <c r="J616" t="s">
        <v>33</v>
      </c>
    </row>
    <row r="617" spans="1:10" x14ac:dyDescent="0.35">
      <c r="A617" t="s">
        <v>2182</v>
      </c>
      <c r="B617" t="s">
        <v>523</v>
      </c>
      <c r="C617" t="s">
        <v>12</v>
      </c>
      <c r="D617" t="s">
        <v>36</v>
      </c>
      <c r="E617" t="s">
        <v>45</v>
      </c>
      <c r="F617" t="s">
        <v>25</v>
      </c>
      <c r="G617" t="s">
        <v>2183</v>
      </c>
      <c r="H617" t="s">
        <v>2184</v>
      </c>
      <c r="I617" t="s">
        <v>49</v>
      </c>
      <c r="J617" t="s">
        <v>33</v>
      </c>
    </row>
    <row r="618" spans="1:10" x14ac:dyDescent="0.35">
      <c r="A618" t="s">
        <v>2185</v>
      </c>
      <c r="B618" t="s">
        <v>998</v>
      </c>
      <c r="C618" t="s">
        <v>22</v>
      </c>
      <c r="D618" t="s">
        <v>73</v>
      </c>
      <c r="E618" t="s">
        <v>14</v>
      </c>
      <c r="F618" t="s">
        <v>25</v>
      </c>
      <c r="G618" t="s">
        <v>2186</v>
      </c>
      <c r="H618" t="s">
        <v>2187</v>
      </c>
      <c r="I618" t="s">
        <v>49</v>
      </c>
      <c r="J618" t="s">
        <v>19</v>
      </c>
    </row>
    <row r="619" spans="1:10" x14ac:dyDescent="0.35">
      <c r="A619" t="s">
        <v>2188</v>
      </c>
      <c r="B619" t="s">
        <v>1781</v>
      </c>
      <c r="C619" t="s">
        <v>72</v>
      </c>
      <c r="D619" t="s">
        <v>44</v>
      </c>
      <c r="E619" t="s">
        <v>109</v>
      </c>
      <c r="F619" t="s">
        <v>15</v>
      </c>
      <c r="G619" t="s">
        <v>2189</v>
      </c>
      <c r="H619" t="s">
        <v>2190</v>
      </c>
      <c r="I619" t="s">
        <v>49</v>
      </c>
      <c r="J619" t="s">
        <v>41</v>
      </c>
    </row>
    <row r="620" spans="1:10" x14ac:dyDescent="0.35">
      <c r="A620" t="s">
        <v>2191</v>
      </c>
      <c r="B620" t="s">
        <v>1971</v>
      </c>
      <c r="C620" t="s">
        <v>108</v>
      </c>
      <c r="D620" t="s">
        <v>73</v>
      </c>
      <c r="E620" t="s">
        <v>14</v>
      </c>
      <c r="F620" t="s">
        <v>79</v>
      </c>
      <c r="G620" t="s">
        <v>2192</v>
      </c>
      <c r="H620" t="s">
        <v>2193</v>
      </c>
      <c r="I620" t="s">
        <v>49</v>
      </c>
      <c r="J620" t="s">
        <v>41</v>
      </c>
    </row>
    <row r="621" spans="1:10" x14ac:dyDescent="0.35">
      <c r="A621" t="s">
        <v>2194</v>
      </c>
      <c r="B621" t="s">
        <v>1413</v>
      </c>
      <c r="C621" t="s">
        <v>72</v>
      </c>
      <c r="D621" t="s">
        <v>36</v>
      </c>
      <c r="E621" t="s">
        <v>14</v>
      </c>
      <c r="F621" t="s">
        <v>25</v>
      </c>
      <c r="G621" t="s">
        <v>2195</v>
      </c>
      <c r="H621" t="s">
        <v>2196</v>
      </c>
      <c r="I621" t="s">
        <v>18</v>
      </c>
      <c r="J621" t="s">
        <v>41</v>
      </c>
    </row>
    <row r="622" spans="1:10" x14ac:dyDescent="0.35">
      <c r="A622" t="s">
        <v>2197</v>
      </c>
      <c r="B622" t="s">
        <v>571</v>
      </c>
      <c r="C622" t="s">
        <v>67</v>
      </c>
      <c r="D622" t="s">
        <v>23</v>
      </c>
      <c r="E622" t="s">
        <v>45</v>
      </c>
      <c r="F622" t="s">
        <v>74</v>
      </c>
      <c r="G622" t="s">
        <v>2198</v>
      </c>
      <c r="H622" t="s">
        <v>2199</v>
      </c>
      <c r="I622" t="s">
        <v>49</v>
      </c>
      <c r="J622" t="s">
        <v>33</v>
      </c>
    </row>
    <row r="623" spans="1:10" x14ac:dyDescent="0.35">
      <c r="A623" t="s">
        <v>2200</v>
      </c>
      <c r="B623" t="s">
        <v>2201</v>
      </c>
      <c r="C623" t="s">
        <v>108</v>
      </c>
      <c r="D623" t="s">
        <v>13</v>
      </c>
      <c r="E623" t="s">
        <v>14</v>
      </c>
      <c r="F623" t="s">
        <v>25</v>
      </c>
      <c r="G623" t="s">
        <v>2202</v>
      </c>
      <c r="H623" t="s">
        <v>2203</v>
      </c>
      <c r="I623" t="s">
        <v>18</v>
      </c>
      <c r="J623" t="s">
        <v>33</v>
      </c>
    </row>
    <row r="624" spans="1:10" x14ac:dyDescent="0.35">
      <c r="A624" t="s">
        <v>2204</v>
      </c>
      <c r="B624" t="s">
        <v>154</v>
      </c>
      <c r="C624" t="s">
        <v>99</v>
      </c>
      <c r="D624" t="s">
        <v>53</v>
      </c>
      <c r="E624" t="s">
        <v>45</v>
      </c>
      <c r="F624" t="s">
        <v>79</v>
      </c>
      <c r="G624" t="s">
        <v>2205</v>
      </c>
      <c r="H624" t="s">
        <v>2206</v>
      </c>
      <c r="I624" t="s">
        <v>32</v>
      </c>
      <c r="J624" t="s">
        <v>64</v>
      </c>
    </row>
    <row r="625" spans="1:10" x14ac:dyDescent="0.35">
      <c r="A625" t="s">
        <v>2207</v>
      </c>
      <c r="B625" t="s">
        <v>561</v>
      </c>
      <c r="C625" t="s">
        <v>67</v>
      </c>
      <c r="D625" t="s">
        <v>36</v>
      </c>
      <c r="E625" t="s">
        <v>45</v>
      </c>
      <c r="F625" t="s">
        <v>46</v>
      </c>
      <c r="G625" t="s">
        <v>2208</v>
      </c>
      <c r="H625" t="s">
        <v>2209</v>
      </c>
      <c r="I625" t="s">
        <v>18</v>
      </c>
      <c r="J625" t="s">
        <v>19</v>
      </c>
    </row>
    <row r="626" spans="1:10" x14ac:dyDescent="0.35">
      <c r="A626" t="s">
        <v>2210</v>
      </c>
      <c r="B626" t="s">
        <v>2211</v>
      </c>
      <c r="C626" t="s">
        <v>12</v>
      </c>
      <c r="D626" t="s">
        <v>23</v>
      </c>
      <c r="E626" t="s">
        <v>24</v>
      </c>
      <c r="F626" t="s">
        <v>79</v>
      </c>
      <c r="G626" t="s">
        <v>2212</v>
      </c>
      <c r="H626" t="s">
        <v>2213</v>
      </c>
      <c r="I626" t="s">
        <v>18</v>
      </c>
      <c r="J626" t="s">
        <v>19</v>
      </c>
    </row>
    <row r="627" spans="1:10" x14ac:dyDescent="0.35">
      <c r="A627" t="s">
        <v>2214</v>
      </c>
      <c r="B627" t="s">
        <v>1141</v>
      </c>
      <c r="C627" t="s">
        <v>108</v>
      </c>
      <c r="D627" t="s">
        <v>36</v>
      </c>
      <c r="E627" t="s">
        <v>14</v>
      </c>
      <c r="F627" t="s">
        <v>38</v>
      </c>
      <c r="G627" t="s">
        <v>2215</v>
      </c>
      <c r="H627" t="s">
        <v>2216</v>
      </c>
      <c r="I627" t="s">
        <v>32</v>
      </c>
      <c r="J627" t="s">
        <v>19</v>
      </c>
    </row>
    <row r="628" spans="1:10" x14ac:dyDescent="0.35">
      <c r="A628" t="s">
        <v>2217</v>
      </c>
      <c r="B628" t="s">
        <v>1103</v>
      </c>
      <c r="C628" t="s">
        <v>99</v>
      </c>
      <c r="D628" t="s">
        <v>73</v>
      </c>
      <c r="E628" t="s">
        <v>37</v>
      </c>
      <c r="F628" t="s">
        <v>74</v>
      </c>
      <c r="G628" t="s">
        <v>2218</v>
      </c>
      <c r="H628" t="s">
        <v>2219</v>
      </c>
      <c r="I628" t="s">
        <v>49</v>
      </c>
      <c r="J628" t="s">
        <v>64</v>
      </c>
    </row>
    <row r="629" spans="1:10" x14ac:dyDescent="0.35">
      <c r="A629" t="s">
        <v>2220</v>
      </c>
      <c r="B629" t="s">
        <v>2068</v>
      </c>
      <c r="C629" t="s">
        <v>108</v>
      </c>
      <c r="D629" t="s">
        <v>36</v>
      </c>
      <c r="E629" t="s">
        <v>37</v>
      </c>
      <c r="F629" t="s">
        <v>46</v>
      </c>
      <c r="G629" t="s">
        <v>2221</v>
      </c>
      <c r="H629" t="s">
        <v>2222</v>
      </c>
      <c r="I629" t="s">
        <v>18</v>
      </c>
      <c r="J629" t="s">
        <v>41</v>
      </c>
    </row>
    <row r="630" spans="1:10" x14ac:dyDescent="0.35">
      <c r="A630" t="s">
        <v>2223</v>
      </c>
      <c r="B630" t="s">
        <v>2085</v>
      </c>
      <c r="C630" t="s">
        <v>67</v>
      </c>
      <c r="D630" t="s">
        <v>44</v>
      </c>
      <c r="E630" t="s">
        <v>37</v>
      </c>
      <c r="F630" t="s">
        <v>79</v>
      </c>
      <c r="G630" t="s">
        <v>2224</v>
      </c>
      <c r="H630" t="s">
        <v>2225</v>
      </c>
      <c r="I630" t="s">
        <v>18</v>
      </c>
      <c r="J630" t="s">
        <v>64</v>
      </c>
    </row>
    <row r="631" spans="1:10" x14ac:dyDescent="0.35">
      <c r="A631" t="s">
        <v>2226</v>
      </c>
      <c r="B631" t="s">
        <v>2227</v>
      </c>
      <c r="C631" t="s">
        <v>99</v>
      </c>
      <c r="D631" t="s">
        <v>44</v>
      </c>
      <c r="E631" t="s">
        <v>24</v>
      </c>
      <c r="F631" t="s">
        <v>38</v>
      </c>
      <c r="G631" t="s">
        <v>2228</v>
      </c>
      <c r="H631" t="s">
        <v>2229</v>
      </c>
      <c r="I631" t="s">
        <v>49</v>
      </c>
      <c r="J631" t="s">
        <v>64</v>
      </c>
    </row>
    <row r="632" spans="1:10" x14ac:dyDescent="0.35">
      <c r="A632" t="s">
        <v>2230</v>
      </c>
      <c r="B632" t="s">
        <v>493</v>
      </c>
      <c r="C632" t="s">
        <v>99</v>
      </c>
      <c r="D632" t="s">
        <v>13</v>
      </c>
      <c r="E632" t="s">
        <v>37</v>
      </c>
      <c r="F632" t="s">
        <v>79</v>
      </c>
      <c r="G632" t="s">
        <v>2231</v>
      </c>
      <c r="H632" t="s">
        <v>2232</v>
      </c>
      <c r="I632" t="s">
        <v>49</v>
      </c>
      <c r="J632" t="s">
        <v>19</v>
      </c>
    </row>
    <row r="633" spans="1:10" x14ac:dyDescent="0.35">
      <c r="A633" t="s">
        <v>2233</v>
      </c>
      <c r="B633" t="s">
        <v>1015</v>
      </c>
      <c r="C633" t="s">
        <v>22</v>
      </c>
      <c r="D633" t="s">
        <v>53</v>
      </c>
      <c r="E633" t="s">
        <v>134</v>
      </c>
      <c r="F633" t="s">
        <v>15</v>
      </c>
      <c r="G633" t="s">
        <v>2234</v>
      </c>
      <c r="H633" t="s">
        <v>2235</v>
      </c>
      <c r="I633" t="s">
        <v>32</v>
      </c>
      <c r="J633" t="s">
        <v>33</v>
      </c>
    </row>
    <row r="634" spans="1:10" x14ac:dyDescent="0.35">
      <c r="A634" t="s">
        <v>2236</v>
      </c>
      <c r="B634" t="s">
        <v>29</v>
      </c>
      <c r="C634" t="s">
        <v>12</v>
      </c>
      <c r="D634" t="s">
        <v>53</v>
      </c>
      <c r="E634" t="s">
        <v>45</v>
      </c>
      <c r="F634" t="s">
        <v>25</v>
      </c>
      <c r="G634" t="s">
        <v>2237</v>
      </c>
      <c r="H634" t="s">
        <v>2238</v>
      </c>
      <c r="I634" t="s">
        <v>18</v>
      </c>
      <c r="J634" t="s">
        <v>41</v>
      </c>
    </row>
    <row r="635" spans="1:10" x14ac:dyDescent="0.35">
      <c r="A635" t="s">
        <v>2239</v>
      </c>
      <c r="B635" t="s">
        <v>617</v>
      </c>
      <c r="C635" t="s">
        <v>99</v>
      </c>
      <c r="D635" t="s">
        <v>13</v>
      </c>
      <c r="E635" t="s">
        <v>134</v>
      </c>
      <c r="F635" t="s">
        <v>74</v>
      </c>
      <c r="G635" t="s">
        <v>2240</v>
      </c>
      <c r="H635" t="s">
        <v>2241</v>
      </c>
      <c r="I635" t="s">
        <v>18</v>
      </c>
      <c r="J635" t="s">
        <v>41</v>
      </c>
    </row>
    <row r="636" spans="1:10" x14ac:dyDescent="0.35">
      <c r="A636" t="s">
        <v>2242</v>
      </c>
      <c r="B636" t="s">
        <v>1693</v>
      </c>
      <c r="C636" t="s">
        <v>52</v>
      </c>
      <c r="D636" t="s">
        <v>23</v>
      </c>
      <c r="E636" t="s">
        <v>45</v>
      </c>
      <c r="F636" t="s">
        <v>15</v>
      </c>
      <c r="G636" t="s">
        <v>2243</v>
      </c>
      <c r="H636" t="s">
        <v>2244</v>
      </c>
      <c r="I636" t="s">
        <v>32</v>
      </c>
      <c r="J636" t="s">
        <v>64</v>
      </c>
    </row>
    <row r="637" spans="1:10" x14ac:dyDescent="0.35">
      <c r="A637" t="s">
        <v>2245</v>
      </c>
      <c r="B637" t="s">
        <v>2246</v>
      </c>
      <c r="C637" t="s">
        <v>108</v>
      </c>
      <c r="D637" t="s">
        <v>73</v>
      </c>
      <c r="E637" t="s">
        <v>134</v>
      </c>
      <c r="F637" t="s">
        <v>74</v>
      </c>
      <c r="G637" t="s">
        <v>2247</v>
      </c>
      <c r="H637" t="s">
        <v>2248</v>
      </c>
      <c r="I637" t="s">
        <v>18</v>
      </c>
      <c r="J637" t="s">
        <v>64</v>
      </c>
    </row>
    <row r="638" spans="1:10" x14ac:dyDescent="0.35">
      <c r="A638" t="s">
        <v>2249</v>
      </c>
      <c r="B638" t="s">
        <v>984</v>
      </c>
      <c r="C638" t="s">
        <v>12</v>
      </c>
      <c r="D638" t="s">
        <v>23</v>
      </c>
      <c r="E638" t="s">
        <v>14</v>
      </c>
      <c r="F638" t="s">
        <v>79</v>
      </c>
      <c r="G638" t="s">
        <v>2250</v>
      </c>
      <c r="H638" t="s">
        <v>2251</v>
      </c>
      <c r="I638" t="s">
        <v>49</v>
      </c>
      <c r="J638" t="s">
        <v>33</v>
      </c>
    </row>
    <row r="639" spans="1:10" x14ac:dyDescent="0.35">
      <c r="A639" t="s">
        <v>2252</v>
      </c>
      <c r="B639" t="s">
        <v>430</v>
      </c>
      <c r="C639" t="s">
        <v>22</v>
      </c>
      <c r="D639" t="s">
        <v>13</v>
      </c>
      <c r="E639" t="s">
        <v>134</v>
      </c>
      <c r="F639" t="s">
        <v>25</v>
      </c>
      <c r="G639" t="s">
        <v>2253</v>
      </c>
      <c r="H639" t="s">
        <v>2254</v>
      </c>
      <c r="I639" t="s">
        <v>49</v>
      </c>
      <c r="J639" t="s">
        <v>64</v>
      </c>
    </row>
    <row r="640" spans="1:10" x14ac:dyDescent="0.35">
      <c r="A640" t="s">
        <v>2255</v>
      </c>
      <c r="B640" t="s">
        <v>1934</v>
      </c>
      <c r="C640" t="s">
        <v>72</v>
      </c>
      <c r="D640" t="s">
        <v>53</v>
      </c>
      <c r="E640" t="s">
        <v>45</v>
      </c>
      <c r="F640" t="s">
        <v>74</v>
      </c>
      <c r="G640" t="s">
        <v>2256</v>
      </c>
      <c r="H640" t="s">
        <v>2257</v>
      </c>
      <c r="I640" t="s">
        <v>49</v>
      </c>
      <c r="J640" t="s">
        <v>33</v>
      </c>
    </row>
    <row r="641" spans="1:10" x14ac:dyDescent="0.35">
      <c r="A641" t="s">
        <v>2258</v>
      </c>
      <c r="B641" t="s">
        <v>129</v>
      </c>
      <c r="C641" t="s">
        <v>72</v>
      </c>
      <c r="D641" t="s">
        <v>36</v>
      </c>
      <c r="E641" t="s">
        <v>37</v>
      </c>
      <c r="F641" t="s">
        <v>25</v>
      </c>
      <c r="G641" t="s">
        <v>2259</v>
      </c>
      <c r="H641" t="s">
        <v>2260</v>
      </c>
      <c r="I641" t="s">
        <v>32</v>
      </c>
      <c r="J641" t="s">
        <v>33</v>
      </c>
    </row>
    <row r="642" spans="1:10" x14ac:dyDescent="0.35">
      <c r="A642" t="s">
        <v>2261</v>
      </c>
      <c r="B642" t="s">
        <v>241</v>
      </c>
      <c r="C642" t="s">
        <v>72</v>
      </c>
      <c r="D642" t="s">
        <v>53</v>
      </c>
      <c r="E642" t="s">
        <v>134</v>
      </c>
      <c r="F642" t="s">
        <v>79</v>
      </c>
      <c r="G642" t="s">
        <v>2262</v>
      </c>
      <c r="H642" t="s">
        <v>2263</v>
      </c>
      <c r="I642" t="s">
        <v>32</v>
      </c>
      <c r="J642" t="s">
        <v>33</v>
      </c>
    </row>
    <row r="643" spans="1:10" x14ac:dyDescent="0.35">
      <c r="A643" t="s">
        <v>2264</v>
      </c>
      <c r="B643" t="s">
        <v>2265</v>
      </c>
      <c r="C643" t="s">
        <v>12</v>
      </c>
      <c r="D643" t="s">
        <v>73</v>
      </c>
      <c r="E643" t="s">
        <v>45</v>
      </c>
      <c r="F643" t="s">
        <v>25</v>
      </c>
      <c r="G643" t="s">
        <v>2266</v>
      </c>
      <c r="H643" t="s">
        <v>2267</v>
      </c>
      <c r="I643" t="s">
        <v>18</v>
      </c>
      <c r="J643" t="s">
        <v>33</v>
      </c>
    </row>
    <row r="644" spans="1:10" x14ac:dyDescent="0.35">
      <c r="A644" t="s">
        <v>2268</v>
      </c>
      <c r="B644" t="s">
        <v>2269</v>
      </c>
      <c r="C644" t="s">
        <v>72</v>
      </c>
      <c r="D644" t="s">
        <v>36</v>
      </c>
      <c r="E644" t="s">
        <v>45</v>
      </c>
      <c r="F644" t="s">
        <v>46</v>
      </c>
      <c r="G644" t="s">
        <v>2270</v>
      </c>
      <c r="H644" t="s">
        <v>2271</v>
      </c>
      <c r="I644" t="s">
        <v>18</v>
      </c>
      <c r="J644" t="s">
        <v>19</v>
      </c>
    </row>
    <row r="645" spans="1:10" x14ac:dyDescent="0.35">
      <c r="A645" t="s">
        <v>2272</v>
      </c>
      <c r="B645" t="s">
        <v>174</v>
      </c>
      <c r="C645" t="s">
        <v>99</v>
      </c>
      <c r="D645" t="s">
        <v>44</v>
      </c>
      <c r="E645" t="s">
        <v>45</v>
      </c>
      <c r="F645" t="s">
        <v>38</v>
      </c>
      <c r="G645" t="s">
        <v>2273</v>
      </c>
      <c r="H645" t="s">
        <v>2274</v>
      </c>
      <c r="I645" t="s">
        <v>49</v>
      </c>
      <c r="J645" t="s">
        <v>64</v>
      </c>
    </row>
    <row r="646" spans="1:10" x14ac:dyDescent="0.35">
      <c r="A646" t="s">
        <v>2275</v>
      </c>
      <c r="B646" t="s">
        <v>1406</v>
      </c>
      <c r="C646" t="s">
        <v>67</v>
      </c>
      <c r="D646" t="s">
        <v>73</v>
      </c>
      <c r="E646" t="s">
        <v>134</v>
      </c>
      <c r="F646" t="s">
        <v>46</v>
      </c>
      <c r="G646" t="s">
        <v>2276</v>
      </c>
      <c r="H646" t="s">
        <v>2277</v>
      </c>
      <c r="I646" t="s">
        <v>49</v>
      </c>
      <c r="J646" t="s">
        <v>19</v>
      </c>
    </row>
    <row r="647" spans="1:10" x14ac:dyDescent="0.35">
      <c r="A647" t="s">
        <v>2278</v>
      </c>
      <c r="B647" t="s">
        <v>527</v>
      </c>
      <c r="C647" t="s">
        <v>67</v>
      </c>
      <c r="D647" t="s">
        <v>13</v>
      </c>
      <c r="E647" t="s">
        <v>109</v>
      </c>
      <c r="F647" t="s">
        <v>46</v>
      </c>
      <c r="G647" t="s">
        <v>2279</v>
      </c>
      <c r="H647" t="s">
        <v>2280</v>
      </c>
      <c r="I647" t="s">
        <v>32</v>
      </c>
      <c r="J647" t="s">
        <v>19</v>
      </c>
    </row>
    <row r="648" spans="1:10" x14ac:dyDescent="0.35">
      <c r="A648" t="s">
        <v>2281</v>
      </c>
      <c r="B648" t="s">
        <v>636</v>
      </c>
      <c r="C648" t="s">
        <v>72</v>
      </c>
      <c r="D648" t="s">
        <v>13</v>
      </c>
      <c r="E648" t="s">
        <v>14</v>
      </c>
      <c r="F648" t="s">
        <v>15</v>
      </c>
      <c r="G648" t="s">
        <v>2282</v>
      </c>
      <c r="H648" t="s">
        <v>2283</v>
      </c>
      <c r="I648" t="s">
        <v>32</v>
      </c>
      <c r="J648" t="s">
        <v>33</v>
      </c>
    </row>
    <row r="649" spans="1:10" x14ac:dyDescent="0.35">
      <c r="A649" t="s">
        <v>2284</v>
      </c>
      <c r="B649" t="s">
        <v>1474</v>
      </c>
      <c r="C649" t="s">
        <v>22</v>
      </c>
      <c r="D649" t="s">
        <v>13</v>
      </c>
      <c r="E649" t="s">
        <v>14</v>
      </c>
      <c r="F649" t="s">
        <v>79</v>
      </c>
      <c r="G649" t="s">
        <v>2285</v>
      </c>
      <c r="H649" t="s">
        <v>2286</v>
      </c>
      <c r="I649" t="s">
        <v>49</v>
      </c>
      <c r="J649" t="s">
        <v>19</v>
      </c>
    </row>
    <row r="650" spans="1:10" x14ac:dyDescent="0.35">
      <c r="A650" t="s">
        <v>2287</v>
      </c>
      <c r="B650" t="s">
        <v>2176</v>
      </c>
      <c r="C650" t="s">
        <v>99</v>
      </c>
      <c r="D650" t="s">
        <v>13</v>
      </c>
      <c r="E650" t="s">
        <v>24</v>
      </c>
      <c r="F650" t="s">
        <v>15</v>
      </c>
      <c r="G650" t="s">
        <v>2288</v>
      </c>
      <c r="H650" t="s">
        <v>2289</v>
      </c>
      <c r="I650" t="s">
        <v>49</v>
      </c>
      <c r="J650" t="s">
        <v>41</v>
      </c>
    </row>
    <row r="651" spans="1:10" x14ac:dyDescent="0.35">
      <c r="A651" t="s">
        <v>2290</v>
      </c>
      <c r="B651" t="s">
        <v>430</v>
      </c>
      <c r="C651" t="s">
        <v>67</v>
      </c>
      <c r="D651" t="s">
        <v>53</v>
      </c>
      <c r="E651" t="s">
        <v>24</v>
      </c>
      <c r="F651" t="s">
        <v>38</v>
      </c>
      <c r="G651" t="s">
        <v>2291</v>
      </c>
      <c r="H651" t="s">
        <v>2292</v>
      </c>
      <c r="I651" t="s">
        <v>49</v>
      </c>
      <c r="J651" t="s">
        <v>33</v>
      </c>
    </row>
    <row r="652" spans="1:10" x14ac:dyDescent="0.35">
      <c r="A652" t="s">
        <v>2293</v>
      </c>
      <c r="B652" t="s">
        <v>1196</v>
      </c>
      <c r="C652" t="s">
        <v>12</v>
      </c>
      <c r="D652" t="s">
        <v>44</v>
      </c>
      <c r="E652" t="s">
        <v>37</v>
      </c>
      <c r="F652" t="s">
        <v>15</v>
      </c>
      <c r="G652" t="s">
        <v>2294</v>
      </c>
      <c r="H652" t="s">
        <v>2295</v>
      </c>
      <c r="I652" t="s">
        <v>32</v>
      </c>
      <c r="J652" t="s">
        <v>64</v>
      </c>
    </row>
    <row r="653" spans="1:10" x14ac:dyDescent="0.35">
      <c r="A653" t="s">
        <v>2296</v>
      </c>
      <c r="B653" t="s">
        <v>1827</v>
      </c>
      <c r="C653" t="s">
        <v>72</v>
      </c>
      <c r="D653" t="s">
        <v>53</v>
      </c>
      <c r="E653" t="s">
        <v>45</v>
      </c>
      <c r="F653" t="s">
        <v>38</v>
      </c>
      <c r="G653" t="s">
        <v>2297</v>
      </c>
      <c r="H653" t="s">
        <v>2298</v>
      </c>
      <c r="I653" t="s">
        <v>49</v>
      </c>
      <c r="J653" t="s">
        <v>41</v>
      </c>
    </row>
    <row r="654" spans="1:10" x14ac:dyDescent="0.35">
      <c r="A654" t="s">
        <v>2299</v>
      </c>
      <c r="B654" t="s">
        <v>1544</v>
      </c>
      <c r="C654" t="s">
        <v>72</v>
      </c>
      <c r="D654" t="s">
        <v>13</v>
      </c>
      <c r="E654" t="s">
        <v>109</v>
      </c>
      <c r="F654" t="s">
        <v>46</v>
      </c>
      <c r="G654" t="s">
        <v>2300</v>
      </c>
      <c r="H654" t="s">
        <v>2301</v>
      </c>
      <c r="I654" t="s">
        <v>49</v>
      </c>
      <c r="J654" t="s">
        <v>33</v>
      </c>
    </row>
    <row r="655" spans="1:10" x14ac:dyDescent="0.35">
      <c r="A655" t="s">
        <v>2302</v>
      </c>
      <c r="B655" t="s">
        <v>908</v>
      </c>
      <c r="C655" t="s">
        <v>72</v>
      </c>
      <c r="D655" t="s">
        <v>23</v>
      </c>
      <c r="E655" t="s">
        <v>37</v>
      </c>
      <c r="F655" t="s">
        <v>15</v>
      </c>
      <c r="G655" t="s">
        <v>2303</v>
      </c>
      <c r="H655" t="s">
        <v>2304</v>
      </c>
      <c r="I655" t="s">
        <v>32</v>
      </c>
      <c r="J655" t="s">
        <v>33</v>
      </c>
    </row>
    <row r="656" spans="1:10" x14ac:dyDescent="0.35">
      <c r="A656" t="s">
        <v>2305</v>
      </c>
      <c r="B656" t="s">
        <v>797</v>
      </c>
      <c r="C656" t="s">
        <v>72</v>
      </c>
      <c r="D656" t="s">
        <v>13</v>
      </c>
      <c r="E656" t="s">
        <v>45</v>
      </c>
      <c r="F656" t="s">
        <v>25</v>
      </c>
      <c r="G656" t="s">
        <v>2306</v>
      </c>
      <c r="H656" t="s">
        <v>2307</v>
      </c>
      <c r="I656" t="s">
        <v>49</v>
      </c>
      <c r="J656" t="s">
        <v>19</v>
      </c>
    </row>
    <row r="657" spans="1:10" x14ac:dyDescent="0.35">
      <c r="A657" t="s">
        <v>2308</v>
      </c>
      <c r="B657" t="s">
        <v>571</v>
      </c>
      <c r="C657" t="s">
        <v>99</v>
      </c>
      <c r="D657" t="s">
        <v>13</v>
      </c>
      <c r="E657" t="s">
        <v>24</v>
      </c>
      <c r="F657" t="s">
        <v>74</v>
      </c>
      <c r="G657" t="s">
        <v>2309</v>
      </c>
      <c r="H657" t="s">
        <v>2310</v>
      </c>
      <c r="I657" t="s">
        <v>49</v>
      </c>
      <c r="J657" t="s">
        <v>64</v>
      </c>
    </row>
    <row r="658" spans="1:10" x14ac:dyDescent="0.35">
      <c r="A658" t="s">
        <v>2311</v>
      </c>
      <c r="B658" t="s">
        <v>1467</v>
      </c>
      <c r="C658" t="s">
        <v>108</v>
      </c>
      <c r="D658" t="s">
        <v>36</v>
      </c>
      <c r="E658" t="s">
        <v>109</v>
      </c>
      <c r="F658" t="s">
        <v>38</v>
      </c>
      <c r="G658" t="s">
        <v>2312</v>
      </c>
      <c r="H658" t="s">
        <v>2313</v>
      </c>
      <c r="I658" t="s">
        <v>32</v>
      </c>
      <c r="J658" t="s">
        <v>41</v>
      </c>
    </row>
    <row r="659" spans="1:10" x14ac:dyDescent="0.35">
      <c r="A659" t="s">
        <v>2314</v>
      </c>
      <c r="B659" t="s">
        <v>450</v>
      </c>
      <c r="C659" t="s">
        <v>12</v>
      </c>
      <c r="D659" t="s">
        <v>13</v>
      </c>
      <c r="E659" t="s">
        <v>134</v>
      </c>
      <c r="F659" t="s">
        <v>25</v>
      </c>
      <c r="G659" t="s">
        <v>2315</v>
      </c>
      <c r="H659" t="s">
        <v>2316</v>
      </c>
      <c r="I659" t="s">
        <v>49</v>
      </c>
      <c r="J659" t="s">
        <v>19</v>
      </c>
    </row>
    <row r="660" spans="1:10" x14ac:dyDescent="0.35">
      <c r="A660" t="s">
        <v>2317</v>
      </c>
      <c r="B660" t="s">
        <v>1581</v>
      </c>
      <c r="C660" t="s">
        <v>67</v>
      </c>
      <c r="D660" t="s">
        <v>53</v>
      </c>
      <c r="E660" t="s">
        <v>109</v>
      </c>
      <c r="F660" t="s">
        <v>46</v>
      </c>
      <c r="G660" t="s">
        <v>2318</v>
      </c>
      <c r="H660" t="s">
        <v>2319</v>
      </c>
      <c r="I660" t="s">
        <v>32</v>
      </c>
      <c r="J660" t="s">
        <v>41</v>
      </c>
    </row>
    <row r="661" spans="1:10" x14ac:dyDescent="0.35">
      <c r="A661" t="s">
        <v>2320</v>
      </c>
      <c r="B661" t="s">
        <v>1248</v>
      </c>
      <c r="C661" t="s">
        <v>72</v>
      </c>
      <c r="D661" t="s">
        <v>53</v>
      </c>
      <c r="E661" t="s">
        <v>14</v>
      </c>
      <c r="F661" t="s">
        <v>15</v>
      </c>
      <c r="G661" t="s">
        <v>2321</v>
      </c>
      <c r="H661" t="s">
        <v>2322</v>
      </c>
      <c r="I661" t="s">
        <v>18</v>
      </c>
      <c r="J661" t="s">
        <v>41</v>
      </c>
    </row>
    <row r="662" spans="1:10" x14ac:dyDescent="0.35">
      <c r="A662" t="s">
        <v>2323</v>
      </c>
      <c r="B662" t="s">
        <v>138</v>
      </c>
      <c r="C662" t="s">
        <v>99</v>
      </c>
      <c r="D662" t="s">
        <v>13</v>
      </c>
      <c r="E662" t="s">
        <v>24</v>
      </c>
      <c r="F662" t="s">
        <v>15</v>
      </c>
      <c r="G662" t="s">
        <v>2324</v>
      </c>
      <c r="H662" t="s">
        <v>2325</v>
      </c>
      <c r="I662" t="s">
        <v>49</v>
      </c>
      <c r="J662" t="s">
        <v>64</v>
      </c>
    </row>
    <row r="663" spans="1:10" x14ac:dyDescent="0.35">
      <c r="A663" t="s">
        <v>2326</v>
      </c>
      <c r="B663" t="s">
        <v>57</v>
      </c>
      <c r="C663" t="s">
        <v>22</v>
      </c>
      <c r="D663" t="s">
        <v>23</v>
      </c>
      <c r="E663" t="s">
        <v>45</v>
      </c>
      <c r="F663" t="s">
        <v>15</v>
      </c>
      <c r="G663" t="s">
        <v>2327</v>
      </c>
      <c r="H663" t="s">
        <v>2328</v>
      </c>
      <c r="I663" t="s">
        <v>32</v>
      </c>
      <c r="J663" t="s">
        <v>19</v>
      </c>
    </row>
    <row r="664" spans="1:10" x14ac:dyDescent="0.35">
      <c r="A664" t="s">
        <v>2329</v>
      </c>
      <c r="B664" t="s">
        <v>1015</v>
      </c>
      <c r="C664" t="s">
        <v>108</v>
      </c>
      <c r="D664" t="s">
        <v>13</v>
      </c>
      <c r="E664" t="s">
        <v>37</v>
      </c>
      <c r="F664" t="s">
        <v>79</v>
      </c>
      <c r="G664" t="s">
        <v>2330</v>
      </c>
      <c r="H664" t="s">
        <v>2331</v>
      </c>
      <c r="I664" t="s">
        <v>49</v>
      </c>
      <c r="J664" t="s">
        <v>19</v>
      </c>
    </row>
    <row r="665" spans="1:10" x14ac:dyDescent="0.35">
      <c r="A665" t="s">
        <v>2332</v>
      </c>
      <c r="B665" t="s">
        <v>2333</v>
      </c>
      <c r="C665" t="s">
        <v>22</v>
      </c>
      <c r="D665" t="s">
        <v>73</v>
      </c>
      <c r="E665" t="s">
        <v>134</v>
      </c>
      <c r="F665" t="s">
        <v>74</v>
      </c>
      <c r="G665" t="s">
        <v>2334</v>
      </c>
      <c r="H665" t="s">
        <v>2335</v>
      </c>
      <c r="I665" t="s">
        <v>18</v>
      </c>
      <c r="J665" t="s">
        <v>64</v>
      </c>
    </row>
    <row r="666" spans="1:10" x14ac:dyDescent="0.35">
      <c r="A666" t="s">
        <v>2336</v>
      </c>
      <c r="B666" t="s">
        <v>1292</v>
      </c>
      <c r="C666" t="s">
        <v>22</v>
      </c>
      <c r="D666" t="s">
        <v>53</v>
      </c>
      <c r="E666" t="s">
        <v>45</v>
      </c>
      <c r="F666" t="s">
        <v>74</v>
      </c>
      <c r="G666" t="s">
        <v>2337</v>
      </c>
      <c r="H666" t="s">
        <v>2338</v>
      </c>
      <c r="I666" t="s">
        <v>18</v>
      </c>
      <c r="J666" t="s">
        <v>41</v>
      </c>
    </row>
    <row r="667" spans="1:10" x14ac:dyDescent="0.35">
      <c r="A667" t="s">
        <v>2339</v>
      </c>
      <c r="B667" t="s">
        <v>332</v>
      </c>
      <c r="C667" t="s">
        <v>99</v>
      </c>
      <c r="D667" t="s">
        <v>73</v>
      </c>
      <c r="E667" t="s">
        <v>24</v>
      </c>
      <c r="F667" t="s">
        <v>46</v>
      </c>
      <c r="G667" t="s">
        <v>2340</v>
      </c>
      <c r="H667" t="s">
        <v>2341</v>
      </c>
      <c r="I667" t="s">
        <v>49</v>
      </c>
      <c r="J667" t="s">
        <v>19</v>
      </c>
    </row>
    <row r="668" spans="1:10" x14ac:dyDescent="0.35">
      <c r="A668" t="s">
        <v>2342</v>
      </c>
      <c r="B668" t="s">
        <v>1255</v>
      </c>
      <c r="C668" t="s">
        <v>22</v>
      </c>
      <c r="D668" t="s">
        <v>23</v>
      </c>
      <c r="E668" t="s">
        <v>109</v>
      </c>
      <c r="F668" t="s">
        <v>74</v>
      </c>
      <c r="G668" t="s">
        <v>2343</v>
      </c>
      <c r="H668" t="s">
        <v>2344</v>
      </c>
      <c r="I668" t="s">
        <v>18</v>
      </c>
      <c r="J668" t="s">
        <v>41</v>
      </c>
    </row>
    <row r="669" spans="1:10" x14ac:dyDescent="0.35">
      <c r="A669" t="s">
        <v>2345</v>
      </c>
      <c r="B669" t="s">
        <v>771</v>
      </c>
      <c r="C669" t="s">
        <v>108</v>
      </c>
      <c r="D669" t="s">
        <v>23</v>
      </c>
      <c r="E669" t="s">
        <v>24</v>
      </c>
      <c r="F669" t="s">
        <v>79</v>
      </c>
      <c r="G669" t="s">
        <v>2346</v>
      </c>
      <c r="H669" t="s">
        <v>2347</v>
      </c>
      <c r="I669" t="s">
        <v>49</v>
      </c>
      <c r="J669" t="s">
        <v>41</v>
      </c>
    </row>
    <row r="670" spans="1:10" x14ac:dyDescent="0.35">
      <c r="A670" t="s">
        <v>2348</v>
      </c>
      <c r="B670" t="s">
        <v>1795</v>
      </c>
      <c r="C670" t="s">
        <v>99</v>
      </c>
      <c r="D670" t="s">
        <v>23</v>
      </c>
      <c r="E670" t="s">
        <v>45</v>
      </c>
      <c r="F670" t="s">
        <v>74</v>
      </c>
      <c r="G670" t="s">
        <v>2349</v>
      </c>
      <c r="H670" t="s">
        <v>2350</v>
      </c>
      <c r="I670" t="s">
        <v>18</v>
      </c>
      <c r="J670" t="s">
        <v>64</v>
      </c>
    </row>
    <row r="671" spans="1:10" x14ac:dyDescent="0.35">
      <c r="A671" t="s">
        <v>2351</v>
      </c>
      <c r="B671" t="s">
        <v>547</v>
      </c>
      <c r="C671" t="s">
        <v>72</v>
      </c>
      <c r="D671" t="s">
        <v>44</v>
      </c>
      <c r="E671" t="s">
        <v>109</v>
      </c>
      <c r="F671" t="s">
        <v>74</v>
      </c>
      <c r="G671" t="s">
        <v>2352</v>
      </c>
      <c r="H671" t="s">
        <v>2353</v>
      </c>
      <c r="I671" t="s">
        <v>49</v>
      </c>
      <c r="J671" t="s">
        <v>33</v>
      </c>
    </row>
    <row r="672" spans="1:10" x14ac:dyDescent="0.35">
      <c r="A672" t="s">
        <v>2354</v>
      </c>
      <c r="B672" t="s">
        <v>527</v>
      </c>
      <c r="C672" t="s">
        <v>22</v>
      </c>
      <c r="D672" t="s">
        <v>13</v>
      </c>
      <c r="E672" t="s">
        <v>134</v>
      </c>
      <c r="F672" t="s">
        <v>25</v>
      </c>
      <c r="G672" t="s">
        <v>2355</v>
      </c>
      <c r="H672" t="s">
        <v>2356</v>
      </c>
      <c r="I672" t="s">
        <v>18</v>
      </c>
      <c r="J672" t="s">
        <v>33</v>
      </c>
    </row>
    <row r="673" spans="1:10" x14ac:dyDescent="0.35">
      <c r="A673" t="s">
        <v>2357</v>
      </c>
      <c r="B673" t="s">
        <v>129</v>
      </c>
      <c r="C673" t="s">
        <v>67</v>
      </c>
      <c r="D673" t="s">
        <v>36</v>
      </c>
      <c r="E673" t="s">
        <v>134</v>
      </c>
      <c r="F673" t="s">
        <v>38</v>
      </c>
      <c r="G673" t="s">
        <v>2358</v>
      </c>
      <c r="H673" t="s">
        <v>2359</v>
      </c>
      <c r="I673" t="s">
        <v>49</v>
      </c>
      <c r="J673" t="s">
        <v>33</v>
      </c>
    </row>
    <row r="674" spans="1:10" x14ac:dyDescent="0.35">
      <c r="A674" t="s">
        <v>2360</v>
      </c>
      <c r="B674" t="s">
        <v>2361</v>
      </c>
      <c r="C674" t="s">
        <v>12</v>
      </c>
      <c r="D674" t="s">
        <v>23</v>
      </c>
      <c r="E674" t="s">
        <v>37</v>
      </c>
      <c r="F674" t="s">
        <v>15</v>
      </c>
      <c r="G674" t="s">
        <v>2362</v>
      </c>
      <c r="H674" t="s">
        <v>2363</v>
      </c>
      <c r="I674" t="s">
        <v>32</v>
      </c>
      <c r="J674" t="s">
        <v>33</v>
      </c>
    </row>
    <row r="675" spans="1:10" x14ac:dyDescent="0.35">
      <c r="A675" t="s">
        <v>2364</v>
      </c>
      <c r="B675" t="s">
        <v>867</v>
      </c>
      <c r="C675" t="s">
        <v>108</v>
      </c>
      <c r="D675" t="s">
        <v>53</v>
      </c>
      <c r="E675" t="s">
        <v>24</v>
      </c>
      <c r="F675" t="s">
        <v>46</v>
      </c>
      <c r="G675" t="s">
        <v>2365</v>
      </c>
      <c r="H675" t="s">
        <v>2366</v>
      </c>
      <c r="I675" t="s">
        <v>32</v>
      </c>
      <c r="J675" t="s">
        <v>41</v>
      </c>
    </row>
    <row r="676" spans="1:10" x14ac:dyDescent="0.35">
      <c r="A676" t="s">
        <v>2367</v>
      </c>
      <c r="B676" t="s">
        <v>915</v>
      </c>
      <c r="C676" t="s">
        <v>108</v>
      </c>
      <c r="D676" t="s">
        <v>36</v>
      </c>
      <c r="E676" t="s">
        <v>14</v>
      </c>
      <c r="F676" t="s">
        <v>15</v>
      </c>
      <c r="G676" t="s">
        <v>2368</v>
      </c>
      <c r="H676" t="s">
        <v>2369</v>
      </c>
      <c r="I676" t="s">
        <v>18</v>
      </c>
      <c r="J676" t="s">
        <v>33</v>
      </c>
    </row>
    <row r="677" spans="1:10" x14ac:dyDescent="0.35">
      <c r="A677" t="s">
        <v>2370</v>
      </c>
      <c r="B677" t="s">
        <v>1092</v>
      </c>
      <c r="C677" t="s">
        <v>99</v>
      </c>
      <c r="D677" t="s">
        <v>73</v>
      </c>
      <c r="E677" t="s">
        <v>37</v>
      </c>
      <c r="F677" t="s">
        <v>46</v>
      </c>
      <c r="G677" t="s">
        <v>2371</v>
      </c>
      <c r="H677" t="s">
        <v>2372</v>
      </c>
      <c r="I677" t="s">
        <v>18</v>
      </c>
      <c r="J677" t="s">
        <v>64</v>
      </c>
    </row>
    <row r="678" spans="1:10" x14ac:dyDescent="0.35">
      <c r="A678" t="s">
        <v>2373</v>
      </c>
      <c r="B678" t="s">
        <v>1820</v>
      </c>
      <c r="C678" t="s">
        <v>72</v>
      </c>
      <c r="D678" t="s">
        <v>44</v>
      </c>
      <c r="E678" t="s">
        <v>45</v>
      </c>
      <c r="F678" t="s">
        <v>38</v>
      </c>
      <c r="G678" t="s">
        <v>2374</v>
      </c>
      <c r="H678" t="s">
        <v>2375</v>
      </c>
      <c r="I678" t="s">
        <v>49</v>
      </c>
      <c r="J678" t="s">
        <v>41</v>
      </c>
    </row>
    <row r="679" spans="1:10" x14ac:dyDescent="0.35">
      <c r="A679" t="s">
        <v>2376</v>
      </c>
      <c r="B679" t="s">
        <v>1156</v>
      </c>
      <c r="C679" t="s">
        <v>67</v>
      </c>
      <c r="D679" t="s">
        <v>13</v>
      </c>
      <c r="E679" t="s">
        <v>24</v>
      </c>
      <c r="F679" t="s">
        <v>74</v>
      </c>
      <c r="G679" t="s">
        <v>2377</v>
      </c>
      <c r="H679" t="s">
        <v>2378</v>
      </c>
      <c r="I679" t="s">
        <v>18</v>
      </c>
      <c r="J679" t="s">
        <v>64</v>
      </c>
    </row>
    <row r="680" spans="1:10" x14ac:dyDescent="0.35">
      <c r="A680" t="s">
        <v>2379</v>
      </c>
      <c r="B680" t="s">
        <v>1948</v>
      </c>
      <c r="C680" t="s">
        <v>67</v>
      </c>
      <c r="D680" t="s">
        <v>53</v>
      </c>
      <c r="E680" t="s">
        <v>109</v>
      </c>
      <c r="F680" t="s">
        <v>46</v>
      </c>
      <c r="G680" t="s">
        <v>2380</v>
      </c>
      <c r="H680" t="s">
        <v>2381</v>
      </c>
      <c r="I680" t="s">
        <v>32</v>
      </c>
      <c r="J680" t="s">
        <v>33</v>
      </c>
    </row>
    <row r="681" spans="1:10" x14ac:dyDescent="0.35">
      <c r="A681" t="s">
        <v>2382</v>
      </c>
      <c r="B681" t="s">
        <v>1655</v>
      </c>
      <c r="C681" t="s">
        <v>72</v>
      </c>
      <c r="D681" t="s">
        <v>13</v>
      </c>
      <c r="E681" t="s">
        <v>134</v>
      </c>
      <c r="F681" t="s">
        <v>25</v>
      </c>
      <c r="G681" t="s">
        <v>2383</v>
      </c>
      <c r="H681" t="s">
        <v>2384</v>
      </c>
      <c r="I681" t="s">
        <v>49</v>
      </c>
      <c r="J681" t="s">
        <v>19</v>
      </c>
    </row>
    <row r="682" spans="1:10" x14ac:dyDescent="0.35">
      <c r="A682" t="s">
        <v>2385</v>
      </c>
      <c r="B682" t="s">
        <v>233</v>
      </c>
      <c r="C682" t="s">
        <v>72</v>
      </c>
      <c r="D682" t="s">
        <v>23</v>
      </c>
      <c r="E682" t="s">
        <v>45</v>
      </c>
      <c r="F682" t="s">
        <v>25</v>
      </c>
      <c r="G682" t="s">
        <v>2386</v>
      </c>
      <c r="H682" t="s">
        <v>2387</v>
      </c>
      <c r="I682" t="s">
        <v>49</v>
      </c>
      <c r="J682" t="s">
        <v>41</v>
      </c>
    </row>
    <row r="683" spans="1:10" x14ac:dyDescent="0.35">
      <c r="A683" t="s">
        <v>2388</v>
      </c>
      <c r="B683" t="s">
        <v>2389</v>
      </c>
      <c r="C683" t="s">
        <v>99</v>
      </c>
      <c r="D683" t="s">
        <v>36</v>
      </c>
      <c r="E683" t="s">
        <v>134</v>
      </c>
      <c r="F683" t="s">
        <v>15</v>
      </c>
      <c r="G683" t="s">
        <v>2390</v>
      </c>
      <c r="H683" t="s">
        <v>2391</v>
      </c>
      <c r="I683" t="s">
        <v>32</v>
      </c>
      <c r="J683" t="s">
        <v>19</v>
      </c>
    </row>
    <row r="684" spans="1:10" x14ac:dyDescent="0.35">
      <c r="A684" t="s">
        <v>2392</v>
      </c>
      <c r="B684" t="s">
        <v>390</v>
      </c>
      <c r="C684" t="s">
        <v>72</v>
      </c>
      <c r="D684" t="s">
        <v>53</v>
      </c>
      <c r="E684" t="s">
        <v>45</v>
      </c>
      <c r="F684" t="s">
        <v>25</v>
      </c>
      <c r="G684" t="s">
        <v>2393</v>
      </c>
      <c r="H684" t="s">
        <v>2394</v>
      </c>
      <c r="I684" t="s">
        <v>49</v>
      </c>
      <c r="J684" t="s">
        <v>19</v>
      </c>
    </row>
    <row r="685" spans="1:10" x14ac:dyDescent="0.35">
      <c r="A685" t="s">
        <v>2395</v>
      </c>
      <c r="B685" t="s">
        <v>178</v>
      </c>
      <c r="C685" t="s">
        <v>12</v>
      </c>
      <c r="D685" t="s">
        <v>13</v>
      </c>
      <c r="E685" t="s">
        <v>24</v>
      </c>
      <c r="F685" t="s">
        <v>25</v>
      </c>
      <c r="G685" t="s">
        <v>2396</v>
      </c>
      <c r="H685" t="s">
        <v>2397</v>
      </c>
      <c r="I685" t="s">
        <v>18</v>
      </c>
      <c r="J685" t="s">
        <v>19</v>
      </c>
    </row>
    <row r="686" spans="1:10" x14ac:dyDescent="0.35">
      <c r="A686" t="s">
        <v>2398</v>
      </c>
      <c r="B686" t="s">
        <v>1554</v>
      </c>
      <c r="C686" t="s">
        <v>108</v>
      </c>
      <c r="D686" t="s">
        <v>36</v>
      </c>
      <c r="E686" t="s">
        <v>45</v>
      </c>
      <c r="F686" t="s">
        <v>15</v>
      </c>
      <c r="G686" t="s">
        <v>2399</v>
      </c>
      <c r="H686" t="s">
        <v>2400</v>
      </c>
      <c r="I686" t="s">
        <v>49</v>
      </c>
      <c r="J686" t="s">
        <v>33</v>
      </c>
    </row>
    <row r="687" spans="1:10" x14ac:dyDescent="0.35">
      <c r="A687" t="s">
        <v>2401</v>
      </c>
      <c r="B687" t="s">
        <v>845</v>
      </c>
      <c r="C687" t="s">
        <v>99</v>
      </c>
      <c r="D687" t="s">
        <v>73</v>
      </c>
      <c r="E687" t="s">
        <v>134</v>
      </c>
      <c r="F687" t="s">
        <v>38</v>
      </c>
      <c r="G687" t="s">
        <v>2402</v>
      </c>
      <c r="H687" t="s">
        <v>2403</v>
      </c>
      <c r="I687" t="s">
        <v>32</v>
      </c>
      <c r="J687" t="s">
        <v>33</v>
      </c>
    </row>
    <row r="688" spans="1:10" x14ac:dyDescent="0.35">
      <c r="A688" t="s">
        <v>2404</v>
      </c>
      <c r="B688" t="s">
        <v>213</v>
      </c>
      <c r="C688" t="s">
        <v>12</v>
      </c>
      <c r="D688" t="s">
        <v>44</v>
      </c>
      <c r="E688" t="s">
        <v>37</v>
      </c>
      <c r="F688" t="s">
        <v>74</v>
      </c>
      <c r="G688" t="s">
        <v>2405</v>
      </c>
      <c r="H688" t="s">
        <v>2406</v>
      </c>
      <c r="I688" t="s">
        <v>18</v>
      </c>
      <c r="J688" t="s">
        <v>19</v>
      </c>
    </row>
    <row r="689" spans="1:10" x14ac:dyDescent="0.35">
      <c r="A689" t="s">
        <v>2407</v>
      </c>
      <c r="B689" t="s">
        <v>786</v>
      </c>
      <c r="C689" t="s">
        <v>22</v>
      </c>
      <c r="D689" t="s">
        <v>73</v>
      </c>
      <c r="E689" t="s">
        <v>14</v>
      </c>
      <c r="F689" t="s">
        <v>74</v>
      </c>
      <c r="G689" t="s">
        <v>2408</v>
      </c>
      <c r="H689" t="s">
        <v>2409</v>
      </c>
      <c r="I689" t="s">
        <v>32</v>
      </c>
      <c r="J689" t="s">
        <v>33</v>
      </c>
    </row>
    <row r="690" spans="1:10" x14ac:dyDescent="0.35">
      <c r="A690" t="s">
        <v>2410</v>
      </c>
      <c r="B690" t="s">
        <v>1938</v>
      </c>
      <c r="C690" t="s">
        <v>52</v>
      </c>
      <c r="D690" t="s">
        <v>73</v>
      </c>
      <c r="E690" t="s">
        <v>134</v>
      </c>
      <c r="F690" t="s">
        <v>79</v>
      </c>
      <c r="G690" t="s">
        <v>2411</v>
      </c>
      <c r="H690" t="s">
        <v>2412</v>
      </c>
      <c r="I690" t="s">
        <v>18</v>
      </c>
      <c r="J690" t="s">
        <v>64</v>
      </c>
    </row>
    <row r="691" spans="1:10" x14ac:dyDescent="0.35">
      <c r="A691" t="s">
        <v>2413</v>
      </c>
      <c r="B691" t="s">
        <v>2211</v>
      </c>
      <c r="C691" t="s">
        <v>108</v>
      </c>
      <c r="D691" t="s">
        <v>23</v>
      </c>
      <c r="E691" t="s">
        <v>45</v>
      </c>
      <c r="F691" t="s">
        <v>74</v>
      </c>
      <c r="G691" t="s">
        <v>2414</v>
      </c>
      <c r="H691" t="s">
        <v>2415</v>
      </c>
      <c r="I691" t="s">
        <v>32</v>
      </c>
      <c r="J691" t="s">
        <v>33</v>
      </c>
    </row>
    <row r="692" spans="1:10" x14ac:dyDescent="0.35">
      <c r="A692" t="s">
        <v>2416</v>
      </c>
      <c r="B692" t="s">
        <v>2417</v>
      </c>
      <c r="C692" t="s">
        <v>22</v>
      </c>
      <c r="D692" t="s">
        <v>36</v>
      </c>
      <c r="E692" t="s">
        <v>134</v>
      </c>
      <c r="F692" t="s">
        <v>79</v>
      </c>
      <c r="G692" t="s">
        <v>2418</v>
      </c>
      <c r="H692" t="s">
        <v>2419</v>
      </c>
      <c r="I692" t="s">
        <v>49</v>
      </c>
      <c r="J692" t="s">
        <v>19</v>
      </c>
    </row>
    <row r="693" spans="1:10" x14ac:dyDescent="0.35">
      <c r="A693" t="s">
        <v>2420</v>
      </c>
      <c r="B693" t="s">
        <v>2421</v>
      </c>
      <c r="C693" t="s">
        <v>99</v>
      </c>
      <c r="D693" t="s">
        <v>36</v>
      </c>
      <c r="E693" t="s">
        <v>24</v>
      </c>
      <c r="F693" t="s">
        <v>38</v>
      </c>
      <c r="G693" t="s">
        <v>2422</v>
      </c>
      <c r="H693" t="s">
        <v>2423</v>
      </c>
      <c r="I693" t="s">
        <v>32</v>
      </c>
      <c r="J693" t="s">
        <v>64</v>
      </c>
    </row>
    <row r="694" spans="1:10" x14ac:dyDescent="0.35">
      <c r="A694" t="s">
        <v>2424</v>
      </c>
      <c r="B694" t="s">
        <v>57</v>
      </c>
      <c r="C694" t="s">
        <v>99</v>
      </c>
      <c r="D694" t="s">
        <v>73</v>
      </c>
      <c r="E694" t="s">
        <v>109</v>
      </c>
      <c r="F694" t="s">
        <v>79</v>
      </c>
      <c r="G694" t="s">
        <v>2425</v>
      </c>
      <c r="H694" t="s">
        <v>2426</v>
      </c>
      <c r="I694" t="s">
        <v>18</v>
      </c>
      <c r="J694" t="s">
        <v>33</v>
      </c>
    </row>
    <row r="695" spans="1:10" x14ac:dyDescent="0.35">
      <c r="A695" t="s">
        <v>2427</v>
      </c>
      <c r="B695" t="s">
        <v>2103</v>
      </c>
      <c r="C695" t="s">
        <v>22</v>
      </c>
      <c r="D695" t="s">
        <v>23</v>
      </c>
      <c r="E695" t="s">
        <v>134</v>
      </c>
      <c r="F695" t="s">
        <v>46</v>
      </c>
      <c r="G695" t="s">
        <v>2428</v>
      </c>
      <c r="H695" t="s">
        <v>2429</v>
      </c>
      <c r="I695" t="s">
        <v>18</v>
      </c>
      <c r="J695" t="s">
        <v>19</v>
      </c>
    </row>
    <row r="696" spans="1:10" x14ac:dyDescent="0.35">
      <c r="A696" t="s">
        <v>2430</v>
      </c>
      <c r="B696" t="s">
        <v>2431</v>
      </c>
      <c r="C696" t="s">
        <v>72</v>
      </c>
      <c r="D696" t="s">
        <v>13</v>
      </c>
      <c r="E696" t="s">
        <v>134</v>
      </c>
      <c r="F696" t="s">
        <v>74</v>
      </c>
      <c r="G696" t="s">
        <v>2432</v>
      </c>
      <c r="H696" t="s">
        <v>2433</v>
      </c>
      <c r="I696" t="s">
        <v>49</v>
      </c>
      <c r="J696" t="s">
        <v>64</v>
      </c>
    </row>
    <row r="697" spans="1:10" x14ac:dyDescent="0.35">
      <c r="A697" t="s">
        <v>2434</v>
      </c>
      <c r="B697" t="s">
        <v>2435</v>
      </c>
      <c r="C697" t="s">
        <v>99</v>
      </c>
      <c r="D697" t="s">
        <v>73</v>
      </c>
      <c r="E697" t="s">
        <v>14</v>
      </c>
      <c r="F697" t="s">
        <v>79</v>
      </c>
      <c r="G697" t="s">
        <v>2436</v>
      </c>
      <c r="H697" t="s">
        <v>2437</v>
      </c>
      <c r="I697" t="s">
        <v>49</v>
      </c>
      <c r="J697" t="s">
        <v>19</v>
      </c>
    </row>
    <row r="698" spans="1:10" x14ac:dyDescent="0.35">
      <c r="A698" t="s">
        <v>2438</v>
      </c>
      <c r="B698" t="s">
        <v>107</v>
      </c>
      <c r="C698" t="s">
        <v>72</v>
      </c>
      <c r="D698" t="s">
        <v>73</v>
      </c>
      <c r="E698" t="s">
        <v>109</v>
      </c>
      <c r="F698" t="s">
        <v>79</v>
      </c>
      <c r="G698" t="s">
        <v>2439</v>
      </c>
      <c r="H698" t="s">
        <v>2440</v>
      </c>
      <c r="I698" t="s">
        <v>32</v>
      </c>
      <c r="J698" t="s">
        <v>41</v>
      </c>
    </row>
    <row r="699" spans="1:10" x14ac:dyDescent="0.35">
      <c r="A699" t="s">
        <v>2441</v>
      </c>
      <c r="B699" t="s">
        <v>1099</v>
      </c>
      <c r="C699" t="s">
        <v>12</v>
      </c>
      <c r="D699" t="s">
        <v>73</v>
      </c>
      <c r="E699" t="s">
        <v>37</v>
      </c>
      <c r="F699" t="s">
        <v>15</v>
      </c>
      <c r="G699" t="s">
        <v>2442</v>
      </c>
      <c r="H699" t="s">
        <v>2443</v>
      </c>
      <c r="I699" t="s">
        <v>32</v>
      </c>
      <c r="J699" t="s">
        <v>19</v>
      </c>
    </row>
    <row r="700" spans="1:10" x14ac:dyDescent="0.35">
      <c r="A700" t="s">
        <v>2444</v>
      </c>
      <c r="B700" t="s">
        <v>1781</v>
      </c>
      <c r="C700" t="s">
        <v>67</v>
      </c>
      <c r="D700" t="s">
        <v>36</v>
      </c>
      <c r="E700" t="s">
        <v>109</v>
      </c>
      <c r="F700" t="s">
        <v>46</v>
      </c>
      <c r="G700" t="s">
        <v>2445</v>
      </c>
      <c r="H700" t="s">
        <v>2446</v>
      </c>
      <c r="I700" t="s">
        <v>18</v>
      </c>
      <c r="J700" t="s">
        <v>64</v>
      </c>
    </row>
    <row r="701" spans="1:10" x14ac:dyDescent="0.35">
      <c r="A701" t="s">
        <v>2447</v>
      </c>
      <c r="B701" t="s">
        <v>663</v>
      </c>
      <c r="C701" t="s">
        <v>108</v>
      </c>
      <c r="D701" t="s">
        <v>23</v>
      </c>
      <c r="E701" t="s">
        <v>14</v>
      </c>
      <c r="F701" t="s">
        <v>46</v>
      </c>
      <c r="G701" t="s">
        <v>2448</v>
      </c>
      <c r="H701" t="s">
        <v>2449</v>
      </c>
      <c r="I701" t="s">
        <v>49</v>
      </c>
      <c r="J701" t="s">
        <v>64</v>
      </c>
    </row>
    <row r="702" spans="1:10" x14ac:dyDescent="0.35">
      <c r="A702" t="s">
        <v>2450</v>
      </c>
      <c r="B702" t="s">
        <v>1888</v>
      </c>
      <c r="C702" t="s">
        <v>67</v>
      </c>
      <c r="D702" t="s">
        <v>23</v>
      </c>
      <c r="E702" t="s">
        <v>45</v>
      </c>
      <c r="F702" t="s">
        <v>38</v>
      </c>
      <c r="G702" t="s">
        <v>2451</v>
      </c>
      <c r="H702" t="s">
        <v>2452</v>
      </c>
      <c r="I702" t="s">
        <v>49</v>
      </c>
      <c r="J702" t="s">
        <v>19</v>
      </c>
    </row>
    <row r="703" spans="1:10" x14ac:dyDescent="0.35">
      <c r="A703" t="s">
        <v>2453</v>
      </c>
      <c r="B703" t="s">
        <v>29</v>
      </c>
      <c r="C703" t="s">
        <v>22</v>
      </c>
      <c r="D703" t="s">
        <v>53</v>
      </c>
      <c r="E703" t="s">
        <v>45</v>
      </c>
      <c r="F703" t="s">
        <v>25</v>
      </c>
      <c r="G703" t="s">
        <v>2454</v>
      </c>
      <c r="H703" t="s">
        <v>2455</v>
      </c>
      <c r="I703" t="s">
        <v>18</v>
      </c>
      <c r="J703" t="s">
        <v>19</v>
      </c>
    </row>
    <row r="704" spans="1:10" x14ac:dyDescent="0.35">
      <c r="A704" t="s">
        <v>2456</v>
      </c>
      <c r="B704" t="s">
        <v>684</v>
      </c>
      <c r="C704" t="s">
        <v>108</v>
      </c>
      <c r="D704" t="s">
        <v>23</v>
      </c>
      <c r="E704" t="s">
        <v>14</v>
      </c>
      <c r="F704" t="s">
        <v>46</v>
      </c>
      <c r="G704" t="s">
        <v>2457</v>
      </c>
      <c r="H704" t="s">
        <v>2458</v>
      </c>
      <c r="I704" t="s">
        <v>49</v>
      </c>
      <c r="J704" t="s">
        <v>64</v>
      </c>
    </row>
    <row r="705" spans="1:10" x14ac:dyDescent="0.35">
      <c r="A705" t="s">
        <v>2459</v>
      </c>
      <c r="B705" t="s">
        <v>625</v>
      </c>
      <c r="C705" t="s">
        <v>99</v>
      </c>
      <c r="D705" t="s">
        <v>53</v>
      </c>
      <c r="E705" t="s">
        <v>24</v>
      </c>
      <c r="F705" t="s">
        <v>46</v>
      </c>
      <c r="G705" t="s">
        <v>2460</v>
      </c>
      <c r="H705" t="s">
        <v>2461</v>
      </c>
      <c r="I705" t="s">
        <v>32</v>
      </c>
      <c r="J705" t="s">
        <v>41</v>
      </c>
    </row>
    <row r="706" spans="1:10" x14ac:dyDescent="0.35">
      <c r="A706" t="s">
        <v>2462</v>
      </c>
      <c r="B706" t="s">
        <v>298</v>
      </c>
      <c r="C706" t="s">
        <v>52</v>
      </c>
      <c r="D706" t="s">
        <v>23</v>
      </c>
      <c r="E706" t="s">
        <v>14</v>
      </c>
      <c r="F706" t="s">
        <v>38</v>
      </c>
      <c r="G706" t="s">
        <v>2463</v>
      </c>
      <c r="H706" t="s">
        <v>2464</v>
      </c>
      <c r="I706" t="s">
        <v>18</v>
      </c>
      <c r="J706" t="s">
        <v>33</v>
      </c>
    </row>
    <row r="707" spans="1:10" x14ac:dyDescent="0.35">
      <c r="A707" t="s">
        <v>2465</v>
      </c>
      <c r="B707" t="s">
        <v>988</v>
      </c>
      <c r="C707" t="s">
        <v>67</v>
      </c>
      <c r="D707" t="s">
        <v>44</v>
      </c>
      <c r="E707" t="s">
        <v>14</v>
      </c>
      <c r="F707" t="s">
        <v>38</v>
      </c>
      <c r="G707" t="s">
        <v>2466</v>
      </c>
      <c r="H707" t="s">
        <v>2467</v>
      </c>
      <c r="I707" t="s">
        <v>18</v>
      </c>
      <c r="J707" t="s">
        <v>64</v>
      </c>
    </row>
    <row r="708" spans="1:10" x14ac:dyDescent="0.35">
      <c r="A708" t="s">
        <v>2468</v>
      </c>
      <c r="B708" t="s">
        <v>90</v>
      </c>
      <c r="C708" t="s">
        <v>52</v>
      </c>
      <c r="D708" t="s">
        <v>13</v>
      </c>
      <c r="E708" t="s">
        <v>45</v>
      </c>
      <c r="F708" t="s">
        <v>79</v>
      </c>
      <c r="G708" t="s">
        <v>2469</v>
      </c>
      <c r="H708" t="s">
        <v>2470</v>
      </c>
      <c r="I708" t="s">
        <v>49</v>
      </c>
      <c r="J708" t="s">
        <v>64</v>
      </c>
    </row>
    <row r="709" spans="1:10" x14ac:dyDescent="0.35">
      <c r="A709" t="s">
        <v>2471</v>
      </c>
      <c r="B709" t="s">
        <v>694</v>
      </c>
      <c r="C709" t="s">
        <v>52</v>
      </c>
      <c r="D709" t="s">
        <v>44</v>
      </c>
      <c r="E709" t="s">
        <v>109</v>
      </c>
      <c r="F709" t="s">
        <v>79</v>
      </c>
      <c r="G709" t="s">
        <v>2472</v>
      </c>
      <c r="H709" t="s">
        <v>2473</v>
      </c>
      <c r="I709" t="s">
        <v>49</v>
      </c>
      <c r="J709" t="s">
        <v>64</v>
      </c>
    </row>
    <row r="710" spans="1:10" x14ac:dyDescent="0.35">
      <c r="A710" t="s">
        <v>2474</v>
      </c>
      <c r="B710" t="s">
        <v>182</v>
      </c>
      <c r="C710" t="s">
        <v>12</v>
      </c>
      <c r="D710" t="s">
        <v>53</v>
      </c>
      <c r="E710" t="s">
        <v>14</v>
      </c>
      <c r="F710" t="s">
        <v>38</v>
      </c>
      <c r="G710" t="s">
        <v>2475</v>
      </c>
      <c r="H710" t="s">
        <v>2476</v>
      </c>
      <c r="I710" t="s">
        <v>18</v>
      </c>
      <c r="J710" t="s">
        <v>64</v>
      </c>
    </row>
    <row r="711" spans="1:10" x14ac:dyDescent="0.35">
      <c r="A711" t="s">
        <v>2477</v>
      </c>
      <c r="B711" t="s">
        <v>2478</v>
      </c>
      <c r="C711" t="s">
        <v>67</v>
      </c>
      <c r="D711" t="s">
        <v>44</v>
      </c>
      <c r="E711" t="s">
        <v>134</v>
      </c>
      <c r="F711" t="s">
        <v>15</v>
      </c>
      <c r="G711" t="s">
        <v>2479</v>
      </c>
      <c r="H711" t="s">
        <v>2480</v>
      </c>
      <c r="I711" t="s">
        <v>32</v>
      </c>
      <c r="J711" t="s">
        <v>64</v>
      </c>
    </row>
    <row r="712" spans="1:10" x14ac:dyDescent="0.35">
      <c r="A712" t="s">
        <v>2481</v>
      </c>
      <c r="B712" t="s">
        <v>1279</v>
      </c>
      <c r="C712" t="s">
        <v>22</v>
      </c>
      <c r="D712" t="s">
        <v>36</v>
      </c>
      <c r="E712" t="s">
        <v>134</v>
      </c>
      <c r="F712" t="s">
        <v>46</v>
      </c>
      <c r="G712" t="s">
        <v>2482</v>
      </c>
      <c r="H712" t="s">
        <v>2483</v>
      </c>
      <c r="I712" t="s">
        <v>49</v>
      </c>
      <c r="J712" t="s">
        <v>19</v>
      </c>
    </row>
    <row r="713" spans="1:10" x14ac:dyDescent="0.35">
      <c r="A713" t="s">
        <v>2484</v>
      </c>
      <c r="B713" t="s">
        <v>415</v>
      </c>
      <c r="C713" t="s">
        <v>108</v>
      </c>
      <c r="D713" t="s">
        <v>44</v>
      </c>
      <c r="E713" t="s">
        <v>109</v>
      </c>
      <c r="F713" t="s">
        <v>79</v>
      </c>
      <c r="G713" t="s">
        <v>2485</v>
      </c>
      <c r="H713" t="s">
        <v>2486</v>
      </c>
      <c r="I713" t="s">
        <v>32</v>
      </c>
      <c r="J713" t="s">
        <v>33</v>
      </c>
    </row>
    <row r="714" spans="1:10" x14ac:dyDescent="0.35">
      <c r="A714" t="s">
        <v>2487</v>
      </c>
      <c r="B714" t="s">
        <v>1406</v>
      </c>
      <c r="C714" t="s">
        <v>67</v>
      </c>
      <c r="D714" t="s">
        <v>23</v>
      </c>
      <c r="E714" t="s">
        <v>37</v>
      </c>
      <c r="F714" t="s">
        <v>74</v>
      </c>
      <c r="G714" t="s">
        <v>2488</v>
      </c>
      <c r="H714" t="s">
        <v>2489</v>
      </c>
      <c r="I714" t="s">
        <v>18</v>
      </c>
      <c r="J714" t="s">
        <v>33</v>
      </c>
    </row>
    <row r="715" spans="1:10" x14ac:dyDescent="0.35">
      <c r="A715" t="s">
        <v>2490</v>
      </c>
      <c r="B715" t="s">
        <v>1170</v>
      </c>
      <c r="C715" t="s">
        <v>72</v>
      </c>
      <c r="D715" t="s">
        <v>53</v>
      </c>
      <c r="E715" t="s">
        <v>37</v>
      </c>
      <c r="F715" t="s">
        <v>25</v>
      </c>
      <c r="G715" t="s">
        <v>2491</v>
      </c>
      <c r="H715" t="s">
        <v>2492</v>
      </c>
      <c r="I715" t="s">
        <v>18</v>
      </c>
      <c r="J715" t="s">
        <v>64</v>
      </c>
    </row>
    <row r="716" spans="1:10" x14ac:dyDescent="0.35">
      <c r="A716" t="s">
        <v>2493</v>
      </c>
      <c r="B716" t="s">
        <v>659</v>
      </c>
      <c r="C716" t="s">
        <v>12</v>
      </c>
      <c r="D716" t="s">
        <v>44</v>
      </c>
      <c r="E716" t="s">
        <v>14</v>
      </c>
      <c r="F716" t="s">
        <v>38</v>
      </c>
      <c r="G716" t="s">
        <v>2494</v>
      </c>
      <c r="H716" t="s">
        <v>2495</v>
      </c>
      <c r="I716" t="s">
        <v>49</v>
      </c>
      <c r="J716" t="s">
        <v>41</v>
      </c>
    </row>
    <row r="717" spans="1:10" x14ac:dyDescent="0.35">
      <c r="A717" t="s">
        <v>2496</v>
      </c>
      <c r="B717" t="s">
        <v>845</v>
      </c>
      <c r="C717" t="s">
        <v>67</v>
      </c>
      <c r="D717" t="s">
        <v>13</v>
      </c>
      <c r="E717" t="s">
        <v>24</v>
      </c>
      <c r="F717" t="s">
        <v>74</v>
      </c>
      <c r="G717" t="s">
        <v>2497</v>
      </c>
      <c r="H717" t="s">
        <v>2498</v>
      </c>
      <c r="I717" t="s">
        <v>32</v>
      </c>
      <c r="J717" t="s">
        <v>64</v>
      </c>
    </row>
    <row r="718" spans="1:10" x14ac:dyDescent="0.35">
      <c r="A718" t="s">
        <v>2499</v>
      </c>
      <c r="B718" t="s">
        <v>442</v>
      </c>
      <c r="C718" t="s">
        <v>67</v>
      </c>
      <c r="D718" t="s">
        <v>44</v>
      </c>
      <c r="E718" t="s">
        <v>134</v>
      </c>
      <c r="F718" t="s">
        <v>38</v>
      </c>
      <c r="G718" t="s">
        <v>2500</v>
      </c>
      <c r="H718" t="s">
        <v>2501</v>
      </c>
      <c r="I718" t="s">
        <v>18</v>
      </c>
      <c r="J718" t="s">
        <v>33</v>
      </c>
    </row>
    <row r="719" spans="1:10" x14ac:dyDescent="0.35">
      <c r="A719" t="s">
        <v>2502</v>
      </c>
      <c r="B719" t="s">
        <v>489</v>
      </c>
      <c r="C719" t="s">
        <v>108</v>
      </c>
      <c r="D719" t="s">
        <v>73</v>
      </c>
      <c r="E719" t="s">
        <v>14</v>
      </c>
      <c r="F719" t="s">
        <v>79</v>
      </c>
      <c r="G719" t="s">
        <v>2503</v>
      </c>
      <c r="H719" t="s">
        <v>2504</v>
      </c>
      <c r="I719" t="s">
        <v>49</v>
      </c>
      <c r="J719" t="s">
        <v>41</v>
      </c>
    </row>
    <row r="720" spans="1:10" x14ac:dyDescent="0.35">
      <c r="A720" t="s">
        <v>2505</v>
      </c>
      <c r="B720" t="s">
        <v>845</v>
      </c>
      <c r="C720" t="s">
        <v>12</v>
      </c>
      <c r="D720" t="s">
        <v>23</v>
      </c>
      <c r="E720" t="s">
        <v>24</v>
      </c>
      <c r="F720" t="s">
        <v>74</v>
      </c>
      <c r="G720" t="s">
        <v>2506</v>
      </c>
      <c r="H720" t="s">
        <v>2507</v>
      </c>
      <c r="I720" t="s">
        <v>18</v>
      </c>
      <c r="J720" t="s">
        <v>19</v>
      </c>
    </row>
    <row r="721" spans="1:10" x14ac:dyDescent="0.35">
      <c r="A721" t="s">
        <v>2508</v>
      </c>
      <c r="B721" t="s">
        <v>1595</v>
      </c>
      <c r="C721" t="s">
        <v>108</v>
      </c>
      <c r="D721" t="s">
        <v>73</v>
      </c>
      <c r="E721" t="s">
        <v>134</v>
      </c>
      <c r="F721" t="s">
        <v>38</v>
      </c>
      <c r="G721" t="s">
        <v>2509</v>
      </c>
      <c r="H721" t="s">
        <v>2510</v>
      </c>
      <c r="I721" t="s">
        <v>32</v>
      </c>
      <c r="J721" t="s">
        <v>19</v>
      </c>
    </row>
    <row r="722" spans="1:10" x14ac:dyDescent="0.35">
      <c r="A722" t="s">
        <v>2511</v>
      </c>
      <c r="B722" t="s">
        <v>1429</v>
      </c>
      <c r="C722" t="s">
        <v>72</v>
      </c>
      <c r="D722" t="s">
        <v>73</v>
      </c>
      <c r="E722" t="s">
        <v>14</v>
      </c>
      <c r="F722" t="s">
        <v>38</v>
      </c>
      <c r="G722" t="s">
        <v>2512</v>
      </c>
      <c r="H722" t="s">
        <v>2513</v>
      </c>
      <c r="I722" t="s">
        <v>49</v>
      </c>
      <c r="J722" t="s">
        <v>41</v>
      </c>
    </row>
    <row r="723" spans="1:10" x14ac:dyDescent="0.35">
      <c r="A723" t="s">
        <v>2514</v>
      </c>
      <c r="B723" t="s">
        <v>853</v>
      </c>
      <c r="C723" t="s">
        <v>72</v>
      </c>
      <c r="D723" t="s">
        <v>13</v>
      </c>
      <c r="E723" t="s">
        <v>24</v>
      </c>
      <c r="F723" t="s">
        <v>79</v>
      </c>
      <c r="G723" t="s">
        <v>2515</v>
      </c>
      <c r="H723" t="s">
        <v>2516</v>
      </c>
      <c r="I723" t="s">
        <v>49</v>
      </c>
      <c r="J723" t="s">
        <v>19</v>
      </c>
    </row>
    <row r="724" spans="1:10" x14ac:dyDescent="0.35">
      <c r="A724" t="s">
        <v>2517</v>
      </c>
      <c r="B724" t="s">
        <v>698</v>
      </c>
      <c r="C724" t="s">
        <v>99</v>
      </c>
      <c r="D724" t="s">
        <v>23</v>
      </c>
      <c r="E724" t="s">
        <v>37</v>
      </c>
      <c r="F724" t="s">
        <v>38</v>
      </c>
      <c r="G724" t="s">
        <v>2518</v>
      </c>
      <c r="H724" t="s">
        <v>2519</v>
      </c>
      <c r="I724" t="s">
        <v>49</v>
      </c>
      <c r="J724" t="s">
        <v>64</v>
      </c>
    </row>
    <row r="725" spans="1:10" x14ac:dyDescent="0.35">
      <c r="A725" t="s">
        <v>2520</v>
      </c>
      <c r="B725" t="s">
        <v>201</v>
      </c>
      <c r="C725" t="s">
        <v>108</v>
      </c>
      <c r="D725" t="s">
        <v>53</v>
      </c>
      <c r="E725" t="s">
        <v>14</v>
      </c>
      <c r="F725" t="s">
        <v>74</v>
      </c>
      <c r="G725" t="s">
        <v>2521</v>
      </c>
      <c r="H725" t="s">
        <v>2522</v>
      </c>
      <c r="I725" t="s">
        <v>49</v>
      </c>
      <c r="J725" t="s">
        <v>19</v>
      </c>
    </row>
    <row r="726" spans="1:10" x14ac:dyDescent="0.35">
      <c r="A726" t="s">
        <v>2523</v>
      </c>
      <c r="B726" t="s">
        <v>29</v>
      </c>
      <c r="C726" t="s">
        <v>52</v>
      </c>
      <c r="D726" t="s">
        <v>36</v>
      </c>
      <c r="E726" t="s">
        <v>24</v>
      </c>
      <c r="F726" t="s">
        <v>46</v>
      </c>
      <c r="G726" t="s">
        <v>2524</v>
      </c>
      <c r="H726" t="s">
        <v>2525</v>
      </c>
      <c r="I726" t="s">
        <v>18</v>
      </c>
      <c r="J726" t="s">
        <v>19</v>
      </c>
    </row>
    <row r="727" spans="1:10" x14ac:dyDescent="0.35">
      <c r="A727" t="s">
        <v>2526</v>
      </c>
      <c r="B727" t="s">
        <v>1160</v>
      </c>
      <c r="C727" t="s">
        <v>52</v>
      </c>
      <c r="D727" t="s">
        <v>73</v>
      </c>
      <c r="E727" t="s">
        <v>109</v>
      </c>
      <c r="F727" t="s">
        <v>79</v>
      </c>
      <c r="G727" t="s">
        <v>2527</v>
      </c>
      <c r="H727" t="s">
        <v>2528</v>
      </c>
      <c r="I727" t="s">
        <v>49</v>
      </c>
      <c r="J727" t="s">
        <v>33</v>
      </c>
    </row>
    <row r="728" spans="1:10" x14ac:dyDescent="0.35">
      <c r="A728" t="s">
        <v>2529</v>
      </c>
      <c r="B728" t="s">
        <v>771</v>
      </c>
      <c r="C728" t="s">
        <v>72</v>
      </c>
      <c r="D728" t="s">
        <v>13</v>
      </c>
      <c r="E728" t="s">
        <v>109</v>
      </c>
      <c r="F728" t="s">
        <v>46</v>
      </c>
      <c r="G728" t="s">
        <v>2530</v>
      </c>
      <c r="H728" t="s">
        <v>2531</v>
      </c>
      <c r="I728" t="s">
        <v>18</v>
      </c>
      <c r="J728" t="s">
        <v>33</v>
      </c>
    </row>
    <row r="729" spans="1:10" x14ac:dyDescent="0.35">
      <c r="A729" t="s">
        <v>2532</v>
      </c>
      <c r="B729" t="s">
        <v>35</v>
      </c>
      <c r="C729" t="s">
        <v>108</v>
      </c>
      <c r="D729" t="s">
        <v>13</v>
      </c>
      <c r="E729" t="s">
        <v>109</v>
      </c>
      <c r="F729" t="s">
        <v>79</v>
      </c>
      <c r="G729" t="s">
        <v>2533</v>
      </c>
      <c r="H729" t="s">
        <v>2534</v>
      </c>
      <c r="I729" t="s">
        <v>49</v>
      </c>
      <c r="J729" t="s">
        <v>41</v>
      </c>
    </row>
    <row r="730" spans="1:10" x14ac:dyDescent="0.35">
      <c r="A730" t="s">
        <v>2535</v>
      </c>
      <c r="B730" t="s">
        <v>253</v>
      </c>
      <c r="C730" t="s">
        <v>108</v>
      </c>
      <c r="D730" t="s">
        <v>44</v>
      </c>
      <c r="E730" t="s">
        <v>134</v>
      </c>
      <c r="F730" t="s">
        <v>79</v>
      </c>
      <c r="G730" t="s">
        <v>2536</v>
      </c>
      <c r="H730" t="s">
        <v>2537</v>
      </c>
      <c r="I730" t="s">
        <v>18</v>
      </c>
      <c r="J730" t="s">
        <v>33</v>
      </c>
    </row>
    <row r="731" spans="1:10" x14ac:dyDescent="0.35">
      <c r="A731" t="s">
        <v>2538</v>
      </c>
      <c r="B731" t="s">
        <v>398</v>
      </c>
      <c r="C731" t="s">
        <v>52</v>
      </c>
      <c r="D731" t="s">
        <v>13</v>
      </c>
      <c r="E731" t="s">
        <v>37</v>
      </c>
      <c r="F731" t="s">
        <v>25</v>
      </c>
      <c r="G731" t="s">
        <v>2539</v>
      </c>
      <c r="H731" t="s">
        <v>2540</v>
      </c>
      <c r="I731" t="s">
        <v>18</v>
      </c>
      <c r="J731" t="s">
        <v>19</v>
      </c>
    </row>
    <row r="732" spans="1:10" x14ac:dyDescent="0.35">
      <c r="A732" t="s">
        <v>2541</v>
      </c>
      <c r="B732" t="s">
        <v>2542</v>
      </c>
      <c r="C732" t="s">
        <v>52</v>
      </c>
      <c r="D732" t="s">
        <v>23</v>
      </c>
      <c r="E732" t="s">
        <v>14</v>
      </c>
      <c r="F732" t="s">
        <v>46</v>
      </c>
      <c r="G732" t="s">
        <v>2543</v>
      </c>
      <c r="H732" t="s">
        <v>2544</v>
      </c>
      <c r="I732" t="s">
        <v>49</v>
      </c>
      <c r="J732" t="s">
        <v>64</v>
      </c>
    </row>
    <row r="733" spans="1:10" x14ac:dyDescent="0.35">
      <c r="A733" t="s">
        <v>2545</v>
      </c>
      <c r="B733" t="s">
        <v>107</v>
      </c>
      <c r="C733" t="s">
        <v>99</v>
      </c>
      <c r="D733" t="s">
        <v>23</v>
      </c>
      <c r="E733" t="s">
        <v>45</v>
      </c>
      <c r="F733" t="s">
        <v>74</v>
      </c>
      <c r="G733" t="s">
        <v>2546</v>
      </c>
      <c r="H733" t="s">
        <v>2547</v>
      </c>
      <c r="I733" t="s">
        <v>18</v>
      </c>
      <c r="J733" t="s">
        <v>64</v>
      </c>
    </row>
    <row r="734" spans="1:10" x14ac:dyDescent="0.35">
      <c r="A734" t="s">
        <v>2548</v>
      </c>
      <c r="B734" t="s">
        <v>61</v>
      </c>
      <c r="C734" t="s">
        <v>67</v>
      </c>
      <c r="D734" t="s">
        <v>23</v>
      </c>
      <c r="E734" t="s">
        <v>37</v>
      </c>
      <c r="F734" t="s">
        <v>46</v>
      </c>
      <c r="G734" t="s">
        <v>2549</v>
      </c>
      <c r="H734" t="s">
        <v>2550</v>
      </c>
      <c r="I734" t="s">
        <v>32</v>
      </c>
      <c r="J734" t="s">
        <v>64</v>
      </c>
    </row>
    <row r="735" spans="1:10" x14ac:dyDescent="0.35">
      <c r="A735" t="s">
        <v>2551</v>
      </c>
      <c r="B735" t="s">
        <v>2431</v>
      </c>
      <c r="C735" t="s">
        <v>99</v>
      </c>
      <c r="D735" t="s">
        <v>36</v>
      </c>
      <c r="E735" t="s">
        <v>24</v>
      </c>
      <c r="F735" t="s">
        <v>15</v>
      </c>
      <c r="G735" t="s">
        <v>2552</v>
      </c>
      <c r="H735" t="s">
        <v>2553</v>
      </c>
      <c r="I735" t="s">
        <v>49</v>
      </c>
      <c r="J735" t="s">
        <v>41</v>
      </c>
    </row>
    <row r="736" spans="1:10" x14ac:dyDescent="0.35">
      <c r="A736" t="s">
        <v>2554</v>
      </c>
      <c r="B736" t="s">
        <v>1448</v>
      </c>
      <c r="C736" t="s">
        <v>99</v>
      </c>
      <c r="D736" t="s">
        <v>44</v>
      </c>
      <c r="E736" t="s">
        <v>134</v>
      </c>
      <c r="F736" t="s">
        <v>15</v>
      </c>
      <c r="G736" t="s">
        <v>2555</v>
      </c>
      <c r="H736" t="s">
        <v>2556</v>
      </c>
      <c r="I736" t="s">
        <v>49</v>
      </c>
      <c r="J736" t="s">
        <v>41</v>
      </c>
    </row>
    <row r="737" spans="1:10" x14ac:dyDescent="0.35">
      <c r="A737" t="s">
        <v>2557</v>
      </c>
      <c r="B737" t="s">
        <v>2558</v>
      </c>
      <c r="C737" t="s">
        <v>108</v>
      </c>
      <c r="D737" t="s">
        <v>73</v>
      </c>
      <c r="E737" t="s">
        <v>14</v>
      </c>
      <c r="F737" t="s">
        <v>79</v>
      </c>
      <c r="G737" t="s">
        <v>2559</v>
      </c>
      <c r="H737" t="s">
        <v>2560</v>
      </c>
      <c r="I737" t="s">
        <v>18</v>
      </c>
      <c r="J737" t="s">
        <v>33</v>
      </c>
    </row>
    <row r="738" spans="1:10" x14ac:dyDescent="0.35">
      <c r="A738" t="s">
        <v>2561</v>
      </c>
      <c r="B738" t="s">
        <v>2562</v>
      </c>
      <c r="C738" t="s">
        <v>12</v>
      </c>
      <c r="D738" t="s">
        <v>73</v>
      </c>
      <c r="E738" t="s">
        <v>134</v>
      </c>
      <c r="F738" t="s">
        <v>46</v>
      </c>
      <c r="G738" t="s">
        <v>2563</v>
      </c>
      <c r="H738" t="s">
        <v>2564</v>
      </c>
      <c r="I738" t="s">
        <v>32</v>
      </c>
      <c r="J738" t="s">
        <v>64</v>
      </c>
    </row>
    <row r="739" spans="1:10" x14ac:dyDescent="0.35">
      <c r="A739" t="s">
        <v>2565</v>
      </c>
      <c r="B739" t="s">
        <v>469</v>
      </c>
      <c r="C739" t="s">
        <v>12</v>
      </c>
      <c r="D739" t="s">
        <v>44</v>
      </c>
      <c r="E739" t="s">
        <v>24</v>
      </c>
      <c r="F739" t="s">
        <v>74</v>
      </c>
      <c r="G739" t="s">
        <v>2566</v>
      </c>
      <c r="H739" t="s">
        <v>2567</v>
      </c>
      <c r="I739" t="s">
        <v>32</v>
      </c>
      <c r="J739" t="s">
        <v>19</v>
      </c>
    </row>
    <row r="740" spans="1:10" x14ac:dyDescent="0.35">
      <c r="A740" t="s">
        <v>2568</v>
      </c>
      <c r="B740" t="s">
        <v>2201</v>
      </c>
      <c r="C740" t="s">
        <v>99</v>
      </c>
      <c r="D740" t="s">
        <v>73</v>
      </c>
      <c r="E740" t="s">
        <v>14</v>
      </c>
      <c r="F740" t="s">
        <v>25</v>
      </c>
      <c r="G740" t="s">
        <v>2569</v>
      </c>
      <c r="H740" t="s">
        <v>2570</v>
      </c>
      <c r="I740" t="s">
        <v>32</v>
      </c>
      <c r="J740" t="s">
        <v>64</v>
      </c>
    </row>
    <row r="741" spans="1:10" x14ac:dyDescent="0.35">
      <c r="A741" t="s">
        <v>2571</v>
      </c>
      <c r="B741" t="s">
        <v>2096</v>
      </c>
      <c r="C741" t="s">
        <v>108</v>
      </c>
      <c r="D741" t="s">
        <v>13</v>
      </c>
      <c r="E741" t="s">
        <v>45</v>
      </c>
      <c r="F741" t="s">
        <v>46</v>
      </c>
      <c r="G741" t="s">
        <v>2572</v>
      </c>
      <c r="H741" t="s">
        <v>2573</v>
      </c>
      <c r="I741" t="s">
        <v>49</v>
      </c>
      <c r="J741" t="s">
        <v>64</v>
      </c>
    </row>
    <row r="742" spans="1:10" x14ac:dyDescent="0.35">
      <c r="A742" t="s">
        <v>2574</v>
      </c>
      <c r="B742" t="s">
        <v>186</v>
      </c>
      <c r="C742" t="s">
        <v>22</v>
      </c>
      <c r="D742" t="s">
        <v>53</v>
      </c>
      <c r="E742" t="s">
        <v>37</v>
      </c>
      <c r="F742" t="s">
        <v>74</v>
      </c>
      <c r="G742" t="s">
        <v>2575</v>
      </c>
      <c r="H742" t="s">
        <v>2576</v>
      </c>
      <c r="I742" t="s">
        <v>18</v>
      </c>
      <c r="J742" t="s">
        <v>41</v>
      </c>
    </row>
    <row r="743" spans="1:10" x14ac:dyDescent="0.35">
      <c r="A743" t="s">
        <v>2577</v>
      </c>
      <c r="B743" t="s">
        <v>575</v>
      </c>
      <c r="C743" t="s">
        <v>22</v>
      </c>
      <c r="D743" t="s">
        <v>13</v>
      </c>
      <c r="E743" t="s">
        <v>134</v>
      </c>
      <c r="F743" t="s">
        <v>46</v>
      </c>
      <c r="G743" t="s">
        <v>2578</v>
      </c>
      <c r="H743" t="s">
        <v>2579</v>
      </c>
      <c r="I743" t="s">
        <v>18</v>
      </c>
      <c r="J743" t="s">
        <v>33</v>
      </c>
    </row>
    <row r="744" spans="1:10" x14ac:dyDescent="0.35">
      <c r="A744" t="s">
        <v>2580</v>
      </c>
      <c r="B744" t="s">
        <v>680</v>
      </c>
      <c r="C744" t="s">
        <v>99</v>
      </c>
      <c r="D744" t="s">
        <v>73</v>
      </c>
      <c r="E744" t="s">
        <v>24</v>
      </c>
      <c r="F744" t="s">
        <v>74</v>
      </c>
      <c r="G744" t="s">
        <v>2581</v>
      </c>
      <c r="H744" t="s">
        <v>2582</v>
      </c>
      <c r="I744" t="s">
        <v>49</v>
      </c>
      <c r="J744" t="s">
        <v>19</v>
      </c>
    </row>
    <row r="745" spans="1:10" x14ac:dyDescent="0.35">
      <c r="A745" t="s">
        <v>2583</v>
      </c>
      <c r="B745" t="s">
        <v>571</v>
      </c>
      <c r="C745" t="s">
        <v>52</v>
      </c>
      <c r="D745" t="s">
        <v>73</v>
      </c>
      <c r="E745" t="s">
        <v>134</v>
      </c>
      <c r="F745" t="s">
        <v>79</v>
      </c>
      <c r="G745" t="s">
        <v>2584</v>
      </c>
      <c r="H745" t="s">
        <v>2585</v>
      </c>
      <c r="I745" t="s">
        <v>49</v>
      </c>
      <c r="J745" t="s">
        <v>19</v>
      </c>
    </row>
    <row r="746" spans="1:10" x14ac:dyDescent="0.35">
      <c r="A746" t="s">
        <v>2586</v>
      </c>
      <c r="B746" t="s">
        <v>984</v>
      </c>
      <c r="C746" t="s">
        <v>67</v>
      </c>
      <c r="D746" t="s">
        <v>13</v>
      </c>
      <c r="E746" t="s">
        <v>14</v>
      </c>
      <c r="F746" t="s">
        <v>15</v>
      </c>
      <c r="G746" t="s">
        <v>2587</v>
      </c>
      <c r="H746" t="s">
        <v>2588</v>
      </c>
      <c r="I746" t="s">
        <v>49</v>
      </c>
      <c r="J746" t="s">
        <v>64</v>
      </c>
    </row>
    <row r="747" spans="1:10" x14ac:dyDescent="0.35">
      <c r="A747" t="s">
        <v>2589</v>
      </c>
      <c r="B747" t="s">
        <v>2590</v>
      </c>
      <c r="C747" t="s">
        <v>22</v>
      </c>
      <c r="D747" t="s">
        <v>44</v>
      </c>
      <c r="E747" t="s">
        <v>24</v>
      </c>
      <c r="F747" t="s">
        <v>15</v>
      </c>
      <c r="G747" t="s">
        <v>2591</v>
      </c>
      <c r="H747" t="s">
        <v>2592</v>
      </c>
      <c r="I747" t="s">
        <v>18</v>
      </c>
      <c r="J747" t="s">
        <v>64</v>
      </c>
    </row>
    <row r="748" spans="1:10" x14ac:dyDescent="0.35">
      <c r="A748" t="s">
        <v>2593</v>
      </c>
      <c r="B748" t="s">
        <v>2265</v>
      </c>
      <c r="C748" t="s">
        <v>108</v>
      </c>
      <c r="D748" t="s">
        <v>44</v>
      </c>
      <c r="E748" t="s">
        <v>109</v>
      </c>
      <c r="F748" t="s">
        <v>46</v>
      </c>
      <c r="G748" t="s">
        <v>2594</v>
      </c>
      <c r="H748" t="s">
        <v>2595</v>
      </c>
      <c r="I748" t="s">
        <v>49</v>
      </c>
      <c r="J748" t="s">
        <v>41</v>
      </c>
    </row>
    <row r="749" spans="1:10" x14ac:dyDescent="0.35">
      <c r="A749" t="s">
        <v>2596</v>
      </c>
      <c r="B749" t="s">
        <v>1296</v>
      </c>
      <c r="C749" t="s">
        <v>99</v>
      </c>
      <c r="D749" t="s">
        <v>73</v>
      </c>
      <c r="E749" t="s">
        <v>109</v>
      </c>
      <c r="F749" t="s">
        <v>74</v>
      </c>
      <c r="G749" t="s">
        <v>2597</v>
      </c>
      <c r="H749" t="s">
        <v>2598</v>
      </c>
      <c r="I749" t="s">
        <v>32</v>
      </c>
      <c r="J749" t="s">
        <v>19</v>
      </c>
    </row>
    <row r="750" spans="1:10" x14ac:dyDescent="0.35">
      <c r="A750" t="s">
        <v>2599</v>
      </c>
      <c r="B750" t="s">
        <v>343</v>
      </c>
      <c r="C750" t="s">
        <v>12</v>
      </c>
      <c r="D750" t="s">
        <v>23</v>
      </c>
      <c r="E750" t="s">
        <v>37</v>
      </c>
      <c r="F750" t="s">
        <v>46</v>
      </c>
      <c r="G750" t="s">
        <v>2600</v>
      </c>
      <c r="H750" t="s">
        <v>2601</v>
      </c>
      <c r="I750" t="s">
        <v>18</v>
      </c>
      <c r="J750" t="s">
        <v>64</v>
      </c>
    </row>
    <row r="751" spans="1:10" x14ac:dyDescent="0.35">
      <c r="A751" t="s">
        <v>2602</v>
      </c>
      <c r="B751" t="s">
        <v>636</v>
      </c>
      <c r="C751" t="s">
        <v>108</v>
      </c>
      <c r="D751" t="s">
        <v>23</v>
      </c>
      <c r="E751" t="s">
        <v>37</v>
      </c>
      <c r="F751" t="s">
        <v>25</v>
      </c>
      <c r="G751" t="s">
        <v>2603</v>
      </c>
      <c r="H751" t="s">
        <v>2604</v>
      </c>
      <c r="I751" t="s">
        <v>49</v>
      </c>
      <c r="J751" t="s">
        <v>19</v>
      </c>
    </row>
    <row r="752" spans="1:10" x14ac:dyDescent="0.35">
      <c r="A752" t="s">
        <v>2605</v>
      </c>
      <c r="B752" t="s">
        <v>2606</v>
      </c>
      <c r="C752" t="s">
        <v>67</v>
      </c>
      <c r="D752" t="s">
        <v>36</v>
      </c>
      <c r="E752" t="s">
        <v>37</v>
      </c>
      <c r="F752" t="s">
        <v>25</v>
      </c>
      <c r="G752" t="s">
        <v>2607</v>
      </c>
      <c r="H752" t="s">
        <v>2608</v>
      </c>
      <c r="I752" t="s">
        <v>32</v>
      </c>
      <c r="J752" t="s">
        <v>19</v>
      </c>
    </row>
    <row r="753" spans="1:10" x14ac:dyDescent="0.35">
      <c r="A753" t="s">
        <v>2609</v>
      </c>
      <c r="B753" t="s">
        <v>2068</v>
      </c>
      <c r="C753" t="s">
        <v>67</v>
      </c>
      <c r="D753" t="s">
        <v>23</v>
      </c>
      <c r="E753" t="s">
        <v>14</v>
      </c>
      <c r="F753" t="s">
        <v>74</v>
      </c>
      <c r="G753" t="s">
        <v>2610</v>
      </c>
      <c r="H753" t="s">
        <v>2611</v>
      </c>
      <c r="I753" t="s">
        <v>18</v>
      </c>
      <c r="J753" t="s">
        <v>64</v>
      </c>
    </row>
    <row r="754" spans="1:10" x14ac:dyDescent="0.35">
      <c r="A754" t="s">
        <v>2612</v>
      </c>
      <c r="B754" t="s">
        <v>644</v>
      </c>
      <c r="C754" t="s">
        <v>52</v>
      </c>
      <c r="D754" t="s">
        <v>23</v>
      </c>
      <c r="E754" t="s">
        <v>134</v>
      </c>
      <c r="F754" t="s">
        <v>46</v>
      </c>
      <c r="G754" t="s">
        <v>2613</v>
      </c>
      <c r="H754" t="s">
        <v>2614</v>
      </c>
      <c r="I754" t="s">
        <v>32</v>
      </c>
      <c r="J754" t="s">
        <v>33</v>
      </c>
    </row>
    <row r="755" spans="1:10" x14ac:dyDescent="0.35">
      <c r="A755" t="s">
        <v>2615</v>
      </c>
      <c r="B755" t="s">
        <v>375</v>
      </c>
      <c r="C755" t="s">
        <v>99</v>
      </c>
      <c r="D755" t="s">
        <v>23</v>
      </c>
      <c r="E755" t="s">
        <v>14</v>
      </c>
      <c r="F755" t="s">
        <v>25</v>
      </c>
      <c r="G755" t="s">
        <v>2616</v>
      </c>
      <c r="H755" t="s">
        <v>2617</v>
      </c>
      <c r="I755" t="s">
        <v>32</v>
      </c>
      <c r="J755" t="s">
        <v>33</v>
      </c>
    </row>
    <row r="756" spans="1:10" x14ac:dyDescent="0.35">
      <c r="A756" t="s">
        <v>2618</v>
      </c>
      <c r="B756" t="s">
        <v>190</v>
      </c>
      <c r="C756" t="s">
        <v>108</v>
      </c>
      <c r="D756" t="s">
        <v>13</v>
      </c>
      <c r="E756" t="s">
        <v>24</v>
      </c>
      <c r="F756" t="s">
        <v>74</v>
      </c>
      <c r="G756" t="s">
        <v>2619</v>
      </c>
      <c r="H756" t="s">
        <v>2620</v>
      </c>
      <c r="I756" t="s">
        <v>18</v>
      </c>
      <c r="J756" t="s">
        <v>64</v>
      </c>
    </row>
    <row r="757" spans="1:10" x14ac:dyDescent="0.35">
      <c r="A757" t="s">
        <v>2621</v>
      </c>
      <c r="B757" t="s">
        <v>205</v>
      </c>
      <c r="C757" t="s">
        <v>22</v>
      </c>
      <c r="D757" t="s">
        <v>44</v>
      </c>
      <c r="E757" t="s">
        <v>37</v>
      </c>
      <c r="F757" t="s">
        <v>15</v>
      </c>
      <c r="G757" t="s">
        <v>2622</v>
      </c>
      <c r="H757" t="s">
        <v>2623</v>
      </c>
      <c r="I757" t="s">
        <v>18</v>
      </c>
      <c r="J757" t="s">
        <v>64</v>
      </c>
    </row>
    <row r="758" spans="1:10" x14ac:dyDescent="0.35">
      <c r="A758" t="s">
        <v>2624</v>
      </c>
      <c r="B758" t="s">
        <v>2625</v>
      </c>
      <c r="C758" t="s">
        <v>12</v>
      </c>
      <c r="D758" t="s">
        <v>13</v>
      </c>
      <c r="E758" t="s">
        <v>24</v>
      </c>
      <c r="F758" t="s">
        <v>79</v>
      </c>
      <c r="G758" t="s">
        <v>2626</v>
      </c>
      <c r="H758" t="s">
        <v>2627</v>
      </c>
      <c r="I758" t="s">
        <v>49</v>
      </c>
      <c r="J758" t="s">
        <v>64</v>
      </c>
    </row>
    <row r="759" spans="1:10" x14ac:dyDescent="0.35">
      <c r="A759" t="s">
        <v>2628</v>
      </c>
      <c r="B759" t="s">
        <v>950</v>
      </c>
      <c r="C759" t="s">
        <v>12</v>
      </c>
      <c r="D759" t="s">
        <v>13</v>
      </c>
      <c r="E759" t="s">
        <v>134</v>
      </c>
      <c r="F759" t="s">
        <v>38</v>
      </c>
      <c r="G759" t="s">
        <v>2629</v>
      </c>
      <c r="H759" t="s">
        <v>2630</v>
      </c>
      <c r="I759" t="s">
        <v>32</v>
      </c>
      <c r="J759" t="s">
        <v>64</v>
      </c>
    </row>
    <row r="760" spans="1:10" x14ac:dyDescent="0.35">
      <c r="A760" t="s">
        <v>2631</v>
      </c>
      <c r="B760" t="s">
        <v>610</v>
      </c>
      <c r="C760" t="s">
        <v>22</v>
      </c>
      <c r="D760" t="s">
        <v>73</v>
      </c>
      <c r="E760" t="s">
        <v>45</v>
      </c>
      <c r="F760" t="s">
        <v>38</v>
      </c>
      <c r="G760" t="s">
        <v>2632</v>
      </c>
      <c r="H760" t="s">
        <v>2633</v>
      </c>
      <c r="I760" t="s">
        <v>49</v>
      </c>
      <c r="J760" t="s">
        <v>19</v>
      </c>
    </row>
    <row r="761" spans="1:10" x14ac:dyDescent="0.35">
      <c r="A761" t="s">
        <v>2634</v>
      </c>
      <c r="B761" t="s">
        <v>636</v>
      </c>
      <c r="C761" t="s">
        <v>108</v>
      </c>
      <c r="D761" t="s">
        <v>73</v>
      </c>
      <c r="E761" t="s">
        <v>45</v>
      </c>
      <c r="F761" t="s">
        <v>25</v>
      </c>
      <c r="G761" t="s">
        <v>2635</v>
      </c>
      <c r="H761" t="s">
        <v>2636</v>
      </c>
      <c r="I761" t="s">
        <v>32</v>
      </c>
      <c r="J761" t="s">
        <v>19</v>
      </c>
    </row>
    <row r="762" spans="1:10" x14ac:dyDescent="0.35">
      <c r="A762" t="s">
        <v>2637</v>
      </c>
      <c r="B762" t="s">
        <v>1795</v>
      </c>
      <c r="C762" t="s">
        <v>108</v>
      </c>
      <c r="D762" t="s">
        <v>36</v>
      </c>
      <c r="E762" t="s">
        <v>37</v>
      </c>
      <c r="F762" t="s">
        <v>25</v>
      </c>
      <c r="G762" t="s">
        <v>2638</v>
      </c>
      <c r="H762" t="s">
        <v>2639</v>
      </c>
      <c r="I762" t="s">
        <v>49</v>
      </c>
      <c r="J762" t="s">
        <v>64</v>
      </c>
    </row>
    <row r="763" spans="1:10" x14ac:dyDescent="0.35">
      <c r="A763" t="s">
        <v>2640</v>
      </c>
      <c r="B763" t="s">
        <v>150</v>
      </c>
      <c r="C763" t="s">
        <v>72</v>
      </c>
      <c r="D763" t="s">
        <v>36</v>
      </c>
      <c r="E763" t="s">
        <v>109</v>
      </c>
      <c r="F763" t="s">
        <v>25</v>
      </c>
      <c r="G763" t="s">
        <v>2641</v>
      </c>
      <c r="H763" t="s">
        <v>2642</v>
      </c>
      <c r="I763" t="s">
        <v>32</v>
      </c>
      <c r="J763" t="s">
        <v>33</v>
      </c>
    </row>
    <row r="764" spans="1:10" x14ac:dyDescent="0.35">
      <c r="A764" t="s">
        <v>2643</v>
      </c>
      <c r="B764" t="s">
        <v>1938</v>
      </c>
      <c r="C764" t="s">
        <v>52</v>
      </c>
      <c r="D764" t="s">
        <v>44</v>
      </c>
      <c r="E764" t="s">
        <v>37</v>
      </c>
      <c r="F764" t="s">
        <v>38</v>
      </c>
      <c r="G764" t="s">
        <v>2644</v>
      </c>
      <c r="H764" t="s">
        <v>2645</v>
      </c>
      <c r="I764" t="s">
        <v>32</v>
      </c>
      <c r="J764" t="s">
        <v>33</v>
      </c>
    </row>
    <row r="765" spans="1:10" x14ac:dyDescent="0.35">
      <c r="A765" t="s">
        <v>2646</v>
      </c>
      <c r="B765" t="s">
        <v>1781</v>
      </c>
      <c r="C765" t="s">
        <v>12</v>
      </c>
      <c r="D765" t="s">
        <v>73</v>
      </c>
      <c r="E765" t="s">
        <v>14</v>
      </c>
      <c r="F765" t="s">
        <v>79</v>
      </c>
      <c r="G765" t="s">
        <v>2647</v>
      </c>
      <c r="H765" t="s">
        <v>2648</v>
      </c>
      <c r="I765" t="s">
        <v>18</v>
      </c>
      <c r="J765" t="s">
        <v>33</v>
      </c>
    </row>
    <row r="766" spans="1:10" x14ac:dyDescent="0.35">
      <c r="A766" t="s">
        <v>2649</v>
      </c>
      <c r="B766" t="s">
        <v>481</v>
      </c>
      <c r="C766" t="s">
        <v>99</v>
      </c>
      <c r="D766" t="s">
        <v>23</v>
      </c>
      <c r="E766" t="s">
        <v>24</v>
      </c>
      <c r="F766" t="s">
        <v>79</v>
      </c>
      <c r="G766" t="s">
        <v>2650</v>
      </c>
      <c r="H766" t="s">
        <v>2651</v>
      </c>
      <c r="I766" t="s">
        <v>18</v>
      </c>
      <c r="J766" t="s">
        <v>64</v>
      </c>
    </row>
    <row r="767" spans="1:10" x14ac:dyDescent="0.35">
      <c r="A767" t="s">
        <v>2652</v>
      </c>
      <c r="B767" t="s">
        <v>294</v>
      </c>
      <c r="C767" t="s">
        <v>99</v>
      </c>
      <c r="D767" t="s">
        <v>44</v>
      </c>
      <c r="E767" t="s">
        <v>45</v>
      </c>
      <c r="F767" t="s">
        <v>38</v>
      </c>
      <c r="G767" t="s">
        <v>2653</v>
      </c>
      <c r="H767" t="s">
        <v>2654</v>
      </c>
      <c r="I767" t="s">
        <v>32</v>
      </c>
      <c r="J767" t="s">
        <v>41</v>
      </c>
    </row>
    <row r="768" spans="1:10" x14ac:dyDescent="0.35">
      <c r="A768" t="s">
        <v>2655</v>
      </c>
      <c r="B768" t="s">
        <v>190</v>
      </c>
      <c r="C768" t="s">
        <v>67</v>
      </c>
      <c r="D768" t="s">
        <v>53</v>
      </c>
      <c r="E768" t="s">
        <v>37</v>
      </c>
      <c r="F768" t="s">
        <v>46</v>
      </c>
      <c r="G768" t="s">
        <v>2656</v>
      </c>
      <c r="H768" t="s">
        <v>2657</v>
      </c>
      <c r="I768" t="s">
        <v>49</v>
      </c>
      <c r="J768" t="s">
        <v>33</v>
      </c>
    </row>
    <row r="769" spans="1:10" x14ac:dyDescent="0.35">
      <c r="A769" t="s">
        <v>2658</v>
      </c>
      <c r="B769" t="s">
        <v>915</v>
      </c>
      <c r="C769" t="s">
        <v>52</v>
      </c>
      <c r="D769" t="s">
        <v>53</v>
      </c>
      <c r="E769" t="s">
        <v>134</v>
      </c>
      <c r="F769" t="s">
        <v>46</v>
      </c>
      <c r="G769" t="s">
        <v>2659</v>
      </c>
      <c r="H769" t="s">
        <v>2660</v>
      </c>
      <c r="I769" t="s">
        <v>49</v>
      </c>
      <c r="J769" t="s">
        <v>19</v>
      </c>
    </row>
    <row r="770" spans="1:10" x14ac:dyDescent="0.35">
      <c r="A770" t="s">
        <v>2661</v>
      </c>
      <c r="B770" t="s">
        <v>133</v>
      </c>
      <c r="C770" t="s">
        <v>108</v>
      </c>
      <c r="D770" t="s">
        <v>44</v>
      </c>
      <c r="E770" t="s">
        <v>14</v>
      </c>
      <c r="F770" t="s">
        <v>46</v>
      </c>
      <c r="G770" t="s">
        <v>2662</v>
      </c>
      <c r="H770" t="s">
        <v>2663</v>
      </c>
      <c r="I770" t="s">
        <v>49</v>
      </c>
      <c r="J770" t="s">
        <v>33</v>
      </c>
    </row>
    <row r="771" spans="1:10" x14ac:dyDescent="0.35">
      <c r="A771" t="s">
        <v>2664</v>
      </c>
      <c r="B771" t="s">
        <v>2103</v>
      </c>
      <c r="C771" t="s">
        <v>108</v>
      </c>
      <c r="D771" t="s">
        <v>73</v>
      </c>
      <c r="E771" t="s">
        <v>24</v>
      </c>
      <c r="F771" t="s">
        <v>25</v>
      </c>
      <c r="G771" t="s">
        <v>2665</v>
      </c>
      <c r="H771" t="s">
        <v>2666</v>
      </c>
      <c r="I771" t="s">
        <v>49</v>
      </c>
      <c r="J771" t="s">
        <v>19</v>
      </c>
    </row>
    <row r="772" spans="1:10" x14ac:dyDescent="0.35">
      <c r="A772" t="s">
        <v>2667</v>
      </c>
      <c r="B772" t="s">
        <v>442</v>
      </c>
      <c r="C772" t="s">
        <v>99</v>
      </c>
      <c r="D772" t="s">
        <v>44</v>
      </c>
      <c r="E772" t="s">
        <v>24</v>
      </c>
      <c r="F772" t="s">
        <v>46</v>
      </c>
      <c r="G772" t="s">
        <v>2668</v>
      </c>
      <c r="H772" t="s">
        <v>2669</v>
      </c>
      <c r="I772" t="s">
        <v>49</v>
      </c>
      <c r="J772" t="s">
        <v>41</v>
      </c>
    </row>
    <row r="773" spans="1:10" x14ac:dyDescent="0.35">
      <c r="A773" t="s">
        <v>2670</v>
      </c>
      <c r="B773" t="s">
        <v>1948</v>
      </c>
      <c r="C773" t="s">
        <v>12</v>
      </c>
      <c r="D773" t="s">
        <v>36</v>
      </c>
      <c r="E773" t="s">
        <v>45</v>
      </c>
      <c r="F773" t="s">
        <v>79</v>
      </c>
      <c r="G773" t="s">
        <v>2671</v>
      </c>
      <c r="H773" t="s">
        <v>2672</v>
      </c>
      <c r="I773" t="s">
        <v>18</v>
      </c>
      <c r="J773" t="s">
        <v>19</v>
      </c>
    </row>
    <row r="774" spans="1:10" x14ac:dyDescent="0.35">
      <c r="A774" t="s">
        <v>2673</v>
      </c>
      <c r="B774" t="s">
        <v>1888</v>
      </c>
      <c r="C774" t="s">
        <v>72</v>
      </c>
      <c r="D774" t="s">
        <v>13</v>
      </c>
      <c r="E774" t="s">
        <v>37</v>
      </c>
      <c r="F774" t="s">
        <v>79</v>
      </c>
      <c r="G774" t="s">
        <v>2674</v>
      </c>
      <c r="H774" t="s">
        <v>2675</v>
      </c>
      <c r="I774" t="s">
        <v>18</v>
      </c>
      <c r="J774" t="s">
        <v>19</v>
      </c>
    </row>
    <row r="775" spans="1:10" x14ac:dyDescent="0.35">
      <c r="A775" t="s">
        <v>2676</v>
      </c>
      <c r="B775" t="s">
        <v>1029</v>
      </c>
      <c r="C775" t="s">
        <v>67</v>
      </c>
      <c r="D775" t="s">
        <v>13</v>
      </c>
      <c r="E775" t="s">
        <v>14</v>
      </c>
      <c r="F775" t="s">
        <v>25</v>
      </c>
      <c r="G775" t="s">
        <v>2677</v>
      </c>
      <c r="H775" t="s">
        <v>2678</v>
      </c>
      <c r="I775" t="s">
        <v>32</v>
      </c>
      <c r="J775" t="s">
        <v>19</v>
      </c>
    </row>
    <row r="776" spans="1:10" x14ac:dyDescent="0.35">
      <c r="A776" t="s">
        <v>2679</v>
      </c>
      <c r="B776" t="s">
        <v>755</v>
      </c>
      <c r="C776" t="s">
        <v>108</v>
      </c>
      <c r="D776" t="s">
        <v>44</v>
      </c>
      <c r="E776" t="s">
        <v>45</v>
      </c>
      <c r="F776" t="s">
        <v>46</v>
      </c>
      <c r="G776" t="s">
        <v>2680</v>
      </c>
      <c r="H776" t="s">
        <v>2681</v>
      </c>
      <c r="I776" t="s">
        <v>18</v>
      </c>
      <c r="J776" t="s">
        <v>64</v>
      </c>
    </row>
    <row r="777" spans="1:10" x14ac:dyDescent="0.35">
      <c r="A777" t="s">
        <v>2682</v>
      </c>
      <c r="B777" t="s">
        <v>515</v>
      </c>
      <c r="C777" t="s">
        <v>108</v>
      </c>
      <c r="D777" t="s">
        <v>23</v>
      </c>
      <c r="E777" t="s">
        <v>14</v>
      </c>
      <c r="F777" t="s">
        <v>46</v>
      </c>
      <c r="G777" t="s">
        <v>2683</v>
      </c>
      <c r="H777" t="s">
        <v>2684</v>
      </c>
      <c r="I777" t="s">
        <v>32</v>
      </c>
      <c r="J777" t="s">
        <v>19</v>
      </c>
    </row>
    <row r="778" spans="1:10" x14ac:dyDescent="0.35">
      <c r="A778" t="s">
        <v>2685</v>
      </c>
      <c r="B778" t="s">
        <v>561</v>
      </c>
      <c r="C778" t="s">
        <v>108</v>
      </c>
      <c r="D778" t="s">
        <v>23</v>
      </c>
      <c r="E778" t="s">
        <v>109</v>
      </c>
      <c r="F778" t="s">
        <v>79</v>
      </c>
      <c r="G778" t="s">
        <v>2686</v>
      </c>
      <c r="H778" t="s">
        <v>2687</v>
      </c>
      <c r="I778" t="s">
        <v>49</v>
      </c>
      <c r="J778" t="s">
        <v>33</v>
      </c>
    </row>
    <row r="779" spans="1:10" x14ac:dyDescent="0.35">
      <c r="A779" t="s">
        <v>2688</v>
      </c>
      <c r="B779" t="s">
        <v>557</v>
      </c>
      <c r="C779" t="s">
        <v>99</v>
      </c>
      <c r="D779" t="s">
        <v>13</v>
      </c>
      <c r="E779" t="s">
        <v>45</v>
      </c>
      <c r="F779" t="s">
        <v>38</v>
      </c>
      <c r="G779" t="s">
        <v>2689</v>
      </c>
      <c r="H779" t="s">
        <v>2690</v>
      </c>
      <c r="I779" t="s">
        <v>32</v>
      </c>
      <c r="J779" t="s">
        <v>41</v>
      </c>
    </row>
    <row r="780" spans="1:10" x14ac:dyDescent="0.35">
      <c r="A780" t="s">
        <v>2691</v>
      </c>
      <c r="B780" t="s">
        <v>83</v>
      </c>
      <c r="C780" t="s">
        <v>72</v>
      </c>
      <c r="D780" t="s">
        <v>73</v>
      </c>
      <c r="E780" t="s">
        <v>37</v>
      </c>
      <c r="F780" t="s">
        <v>79</v>
      </c>
      <c r="G780" t="s">
        <v>2692</v>
      </c>
      <c r="H780" t="s">
        <v>2693</v>
      </c>
      <c r="I780" t="s">
        <v>18</v>
      </c>
      <c r="J780" t="s">
        <v>19</v>
      </c>
    </row>
    <row r="781" spans="1:10" x14ac:dyDescent="0.35">
      <c r="A781" t="s">
        <v>2694</v>
      </c>
      <c r="B781" t="s">
        <v>317</v>
      </c>
      <c r="C781" t="s">
        <v>12</v>
      </c>
      <c r="D781" t="s">
        <v>53</v>
      </c>
      <c r="E781" t="s">
        <v>109</v>
      </c>
      <c r="F781" t="s">
        <v>25</v>
      </c>
      <c r="G781" t="s">
        <v>2695</v>
      </c>
      <c r="H781" t="s">
        <v>2696</v>
      </c>
      <c r="I781" t="s">
        <v>18</v>
      </c>
      <c r="J781" t="s">
        <v>33</v>
      </c>
    </row>
    <row r="782" spans="1:10" x14ac:dyDescent="0.35">
      <c r="A782" t="s">
        <v>2697</v>
      </c>
      <c r="B782" t="s">
        <v>154</v>
      </c>
      <c r="C782" t="s">
        <v>52</v>
      </c>
      <c r="D782" t="s">
        <v>36</v>
      </c>
      <c r="E782" t="s">
        <v>109</v>
      </c>
      <c r="F782" t="s">
        <v>74</v>
      </c>
      <c r="G782" t="s">
        <v>2698</v>
      </c>
      <c r="H782" t="s">
        <v>2699</v>
      </c>
      <c r="I782" t="s">
        <v>18</v>
      </c>
      <c r="J782" t="s">
        <v>41</v>
      </c>
    </row>
    <row r="783" spans="1:10" x14ac:dyDescent="0.35">
      <c r="A783" t="s">
        <v>2700</v>
      </c>
      <c r="B783" t="s">
        <v>1503</v>
      </c>
      <c r="C783" t="s">
        <v>99</v>
      </c>
      <c r="D783" t="s">
        <v>53</v>
      </c>
      <c r="E783" t="s">
        <v>37</v>
      </c>
      <c r="F783" t="s">
        <v>46</v>
      </c>
      <c r="G783" t="s">
        <v>2701</v>
      </c>
      <c r="H783" t="s">
        <v>2702</v>
      </c>
      <c r="I783" t="s">
        <v>18</v>
      </c>
      <c r="J783" t="s">
        <v>64</v>
      </c>
    </row>
    <row r="784" spans="1:10" x14ac:dyDescent="0.35">
      <c r="A784" t="s">
        <v>2703</v>
      </c>
      <c r="B784" t="s">
        <v>1934</v>
      </c>
      <c r="C784" t="s">
        <v>72</v>
      </c>
      <c r="D784" t="s">
        <v>73</v>
      </c>
      <c r="E784" t="s">
        <v>134</v>
      </c>
      <c r="F784" t="s">
        <v>74</v>
      </c>
      <c r="G784" t="s">
        <v>2704</v>
      </c>
      <c r="H784" t="s">
        <v>2705</v>
      </c>
      <c r="I784" t="s">
        <v>49</v>
      </c>
      <c r="J784" t="s">
        <v>33</v>
      </c>
    </row>
    <row r="785" spans="1:10" x14ac:dyDescent="0.35">
      <c r="A785" t="s">
        <v>2706</v>
      </c>
      <c r="B785" t="s">
        <v>1934</v>
      </c>
      <c r="C785" t="s">
        <v>12</v>
      </c>
      <c r="D785" t="s">
        <v>23</v>
      </c>
      <c r="E785" t="s">
        <v>45</v>
      </c>
      <c r="F785" t="s">
        <v>74</v>
      </c>
      <c r="G785" t="s">
        <v>2707</v>
      </c>
      <c r="H785" t="s">
        <v>2708</v>
      </c>
      <c r="I785" t="s">
        <v>32</v>
      </c>
      <c r="J785" t="s">
        <v>33</v>
      </c>
    </row>
    <row r="786" spans="1:10" x14ac:dyDescent="0.35">
      <c r="A786" t="s">
        <v>2709</v>
      </c>
      <c r="B786" t="s">
        <v>1914</v>
      </c>
      <c r="C786" t="s">
        <v>22</v>
      </c>
      <c r="D786" t="s">
        <v>44</v>
      </c>
      <c r="E786" t="s">
        <v>14</v>
      </c>
      <c r="F786" t="s">
        <v>74</v>
      </c>
      <c r="G786" t="s">
        <v>2710</v>
      </c>
      <c r="H786" t="s">
        <v>2711</v>
      </c>
      <c r="I786" t="s">
        <v>49</v>
      </c>
      <c r="J786" t="s">
        <v>33</v>
      </c>
    </row>
    <row r="787" spans="1:10" x14ac:dyDescent="0.35">
      <c r="A787" t="s">
        <v>2712</v>
      </c>
      <c r="B787" t="s">
        <v>1398</v>
      </c>
      <c r="C787" t="s">
        <v>72</v>
      </c>
      <c r="D787" t="s">
        <v>13</v>
      </c>
      <c r="E787" t="s">
        <v>109</v>
      </c>
      <c r="F787" t="s">
        <v>15</v>
      </c>
      <c r="G787" t="s">
        <v>2713</v>
      </c>
      <c r="H787" t="s">
        <v>2714</v>
      </c>
      <c r="I787" t="s">
        <v>18</v>
      </c>
      <c r="J787" t="s">
        <v>64</v>
      </c>
    </row>
    <row r="788" spans="1:10" x14ac:dyDescent="0.35">
      <c r="A788" t="s">
        <v>2715</v>
      </c>
      <c r="B788" t="s">
        <v>980</v>
      </c>
      <c r="C788" t="s">
        <v>12</v>
      </c>
      <c r="D788" t="s">
        <v>44</v>
      </c>
      <c r="E788" t="s">
        <v>109</v>
      </c>
      <c r="F788" t="s">
        <v>79</v>
      </c>
      <c r="G788" t="s">
        <v>2716</v>
      </c>
      <c r="H788" t="s">
        <v>2717</v>
      </c>
      <c r="I788" t="s">
        <v>18</v>
      </c>
      <c r="J788" t="s">
        <v>64</v>
      </c>
    </row>
    <row r="789" spans="1:10" x14ac:dyDescent="0.35">
      <c r="A789" t="s">
        <v>2718</v>
      </c>
      <c r="B789" t="s">
        <v>2719</v>
      </c>
      <c r="C789" t="s">
        <v>108</v>
      </c>
      <c r="D789" t="s">
        <v>44</v>
      </c>
      <c r="E789" t="s">
        <v>14</v>
      </c>
      <c r="F789" t="s">
        <v>25</v>
      </c>
      <c r="G789" t="s">
        <v>2720</v>
      </c>
      <c r="H789" t="s">
        <v>2721</v>
      </c>
      <c r="I789" t="s">
        <v>32</v>
      </c>
      <c r="J789" t="s">
        <v>64</v>
      </c>
    </row>
    <row r="790" spans="1:10" x14ac:dyDescent="0.35">
      <c r="A790" t="s">
        <v>2722</v>
      </c>
      <c r="B790" t="s">
        <v>950</v>
      </c>
      <c r="C790" t="s">
        <v>72</v>
      </c>
      <c r="D790" t="s">
        <v>44</v>
      </c>
      <c r="E790" t="s">
        <v>109</v>
      </c>
      <c r="F790" t="s">
        <v>38</v>
      </c>
      <c r="G790" t="s">
        <v>2723</v>
      </c>
      <c r="H790" t="s">
        <v>2724</v>
      </c>
      <c r="I790" t="s">
        <v>18</v>
      </c>
      <c r="J790" t="s">
        <v>41</v>
      </c>
    </row>
    <row r="791" spans="1:10" x14ac:dyDescent="0.35">
      <c r="A791" t="s">
        <v>2725</v>
      </c>
      <c r="B791" t="s">
        <v>2726</v>
      </c>
      <c r="C791" t="s">
        <v>99</v>
      </c>
      <c r="D791" t="s">
        <v>53</v>
      </c>
      <c r="E791" t="s">
        <v>24</v>
      </c>
      <c r="F791" t="s">
        <v>46</v>
      </c>
      <c r="G791" t="s">
        <v>2727</v>
      </c>
      <c r="H791" t="s">
        <v>2728</v>
      </c>
      <c r="I791" t="s">
        <v>49</v>
      </c>
      <c r="J791" t="s">
        <v>19</v>
      </c>
    </row>
    <row r="792" spans="1:10" x14ac:dyDescent="0.35">
      <c r="A792" t="s">
        <v>2729</v>
      </c>
      <c r="B792" t="s">
        <v>434</v>
      </c>
      <c r="C792" t="s">
        <v>52</v>
      </c>
      <c r="D792" t="s">
        <v>36</v>
      </c>
      <c r="E792" t="s">
        <v>134</v>
      </c>
      <c r="F792" t="s">
        <v>74</v>
      </c>
      <c r="G792" t="s">
        <v>2730</v>
      </c>
      <c r="H792" t="s">
        <v>2731</v>
      </c>
      <c r="I792" t="s">
        <v>18</v>
      </c>
      <c r="J792" t="s">
        <v>41</v>
      </c>
    </row>
    <row r="793" spans="1:10" x14ac:dyDescent="0.35">
      <c r="A793" t="s">
        <v>2732</v>
      </c>
      <c r="B793" t="s">
        <v>583</v>
      </c>
      <c r="C793" t="s">
        <v>52</v>
      </c>
      <c r="D793" t="s">
        <v>13</v>
      </c>
      <c r="E793" t="s">
        <v>24</v>
      </c>
      <c r="F793" t="s">
        <v>38</v>
      </c>
      <c r="G793" t="s">
        <v>2733</v>
      </c>
      <c r="H793" t="s">
        <v>2734</v>
      </c>
      <c r="I793" t="s">
        <v>49</v>
      </c>
      <c r="J793" t="s">
        <v>41</v>
      </c>
    </row>
    <row r="794" spans="1:10" x14ac:dyDescent="0.35">
      <c r="A794" t="s">
        <v>2735</v>
      </c>
      <c r="B794" t="s">
        <v>2736</v>
      </c>
      <c r="C794" t="s">
        <v>99</v>
      </c>
      <c r="D794" t="s">
        <v>73</v>
      </c>
      <c r="E794" t="s">
        <v>24</v>
      </c>
      <c r="F794" t="s">
        <v>15</v>
      </c>
      <c r="G794" t="s">
        <v>2737</v>
      </c>
      <c r="H794" t="s">
        <v>2738</v>
      </c>
      <c r="I794" t="s">
        <v>18</v>
      </c>
      <c r="J794" t="s">
        <v>19</v>
      </c>
    </row>
    <row r="795" spans="1:10" x14ac:dyDescent="0.35">
      <c r="A795" t="s">
        <v>2739</v>
      </c>
      <c r="B795" t="s">
        <v>129</v>
      </c>
      <c r="C795" t="s">
        <v>12</v>
      </c>
      <c r="D795" t="s">
        <v>44</v>
      </c>
      <c r="E795" t="s">
        <v>109</v>
      </c>
      <c r="F795" t="s">
        <v>46</v>
      </c>
      <c r="G795" t="s">
        <v>2740</v>
      </c>
      <c r="H795" t="s">
        <v>2741</v>
      </c>
      <c r="I795" t="s">
        <v>32</v>
      </c>
      <c r="J795" t="s">
        <v>41</v>
      </c>
    </row>
    <row r="796" spans="1:10" x14ac:dyDescent="0.35">
      <c r="A796" t="s">
        <v>2742</v>
      </c>
      <c r="B796" t="s">
        <v>755</v>
      </c>
      <c r="C796" t="s">
        <v>72</v>
      </c>
      <c r="D796" t="s">
        <v>13</v>
      </c>
      <c r="E796" t="s">
        <v>109</v>
      </c>
      <c r="F796" t="s">
        <v>79</v>
      </c>
      <c r="G796" t="s">
        <v>2743</v>
      </c>
      <c r="H796" t="s">
        <v>2744</v>
      </c>
      <c r="I796" t="s">
        <v>18</v>
      </c>
      <c r="J796" t="s">
        <v>19</v>
      </c>
    </row>
    <row r="797" spans="1:10" x14ac:dyDescent="0.35">
      <c r="A797" t="s">
        <v>2745</v>
      </c>
      <c r="B797" t="s">
        <v>1126</v>
      </c>
      <c r="C797" t="s">
        <v>67</v>
      </c>
      <c r="D797" t="s">
        <v>53</v>
      </c>
      <c r="E797" t="s">
        <v>24</v>
      </c>
      <c r="F797" t="s">
        <v>74</v>
      </c>
      <c r="G797" t="s">
        <v>2746</v>
      </c>
      <c r="H797" t="s">
        <v>2747</v>
      </c>
      <c r="I797" t="s">
        <v>49</v>
      </c>
      <c r="J797" t="s">
        <v>41</v>
      </c>
    </row>
    <row r="798" spans="1:10" x14ac:dyDescent="0.35">
      <c r="A798" t="s">
        <v>2748</v>
      </c>
      <c r="B798" t="s">
        <v>1565</v>
      </c>
      <c r="C798" t="s">
        <v>52</v>
      </c>
      <c r="D798" t="s">
        <v>13</v>
      </c>
      <c r="E798" t="s">
        <v>109</v>
      </c>
      <c r="F798" t="s">
        <v>25</v>
      </c>
      <c r="G798" t="s">
        <v>2749</v>
      </c>
      <c r="H798" t="s">
        <v>2750</v>
      </c>
      <c r="I798" t="s">
        <v>32</v>
      </c>
      <c r="J798" t="s">
        <v>33</v>
      </c>
    </row>
    <row r="799" spans="1:10" x14ac:dyDescent="0.35">
      <c r="A799" t="s">
        <v>2751</v>
      </c>
      <c r="B799" t="s">
        <v>390</v>
      </c>
      <c r="C799" t="s">
        <v>52</v>
      </c>
      <c r="D799" t="s">
        <v>44</v>
      </c>
      <c r="E799" t="s">
        <v>109</v>
      </c>
      <c r="F799" t="s">
        <v>25</v>
      </c>
      <c r="G799" t="s">
        <v>2752</v>
      </c>
      <c r="H799" t="s">
        <v>2753</v>
      </c>
      <c r="I799" t="s">
        <v>49</v>
      </c>
      <c r="J799" t="s">
        <v>33</v>
      </c>
    </row>
    <row r="800" spans="1:10" x14ac:dyDescent="0.35">
      <c r="A800" t="s">
        <v>2754</v>
      </c>
      <c r="B800" t="s">
        <v>2435</v>
      </c>
      <c r="C800" t="s">
        <v>52</v>
      </c>
      <c r="D800" t="s">
        <v>73</v>
      </c>
      <c r="E800" t="s">
        <v>37</v>
      </c>
      <c r="F800" t="s">
        <v>15</v>
      </c>
      <c r="G800" t="s">
        <v>2755</v>
      </c>
      <c r="H800" t="s">
        <v>2756</v>
      </c>
      <c r="I800" t="s">
        <v>32</v>
      </c>
      <c r="J800" t="s">
        <v>41</v>
      </c>
    </row>
    <row r="801" spans="1:10" x14ac:dyDescent="0.35">
      <c r="A801" t="s">
        <v>2757</v>
      </c>
      <c r="B801" t="s">
        <v>547</v>
      </c>
      <c r="C801" t="s">
        <v>52</v>
      </c>
      <c r="D801" t="s">
        <v>44</v>
      </c>
      <c r="E801" t="s">
        <v>134</v>
      </c>
      <c r="F801" t="s">
        <v>46</v>
      </c>
      <c r="G801" t="s">
        <v>2758</v>
      </c>
      <c r="H801" t="s">
        <v>2759</v>
      </c>
      <c r="I801" t="s">
        <v>18</v>
      </c>
      <c r="J801" t="s">
        <v>33</v>
      </c>
    </row>
    <row r="802" spans="1:10" x14ac:dyDescent="0.35">
      <c r="A802" t="s">
        <v>2760</v>
      </c>
      <c r="B802" t="s">
        <v>2761</v>
      </c>
      <c r="C802" t="s">
        <v>108</v>
      </c>
      <c r="D802" t="s">
        <v>23</v>
      </c>
      <c r="E802" t="s">
        <v>45</v>
      </c>
      <c r="F802" t="s">
        <v>25</v>
      </c>
      <c r="G802" t="s">
        <v>2762</v>
      </c>
      <c r="H802" t="s">
        <v>2763</v>
      </c>
      <c r="I802" t="s">
        <v>18</v>
      </c>
      <c r="J802" t="s">
        <v>19</v>
      </c>
    </row>
    <row r="803" spans="1:10" x14ac:dyDescent="0.35">
      <c r="A803" t="s">
        <v>2764</v>
      </c>
      <c r="B803" t="s">
        <v>1693</v>
      </c>
      <c r="C803" t="s">
        <v>108</v>
      </c>
      <c r="D803" t="s">
        <v>13</v>
      </c>
      <c r="E803" t="s">
        <v>45</v>
      </c>
      <c r="F803" t="s">
        <v>46</v>
      </c>
      <c r="G803" t="s">
        <v>2765</v>
      </c>
      <c r="H803" t="s">
        <v>2766</v>
      </c>
      <c r="I803" t="s">
        <v>18</v>
      </c>
      <c r="J803" t="s">
        <v>41</v>
      </c>
    </row>
    <row r="804" spans="1:10" x14ac:dyDescent="0.35">
      <c r="A804" t="s">
        <v>2767</v>
      </c>
      <c r="B804" t="s">
        <v>279</v>
      </c>
      <c r="C804" t="s">
        <v>52</v>
      </c>
      <c r="D804" t="s">
        <v>73</v>
      </c>
      <c r="E804" t="s">
        <v>134</v>
      </c>
      <c r="F804" t="s">
        <v>15</v>
      </c>
      <c r="G804" t="s">
        <v>2768</v>
      </c>
      <c r="H804" t="s">
        <v>2769</v>
      </c>
      <c r="I804" t="s">
        <v>18</v>
      </c>
      <c r="J804" t="s">
        <v>64</v>
      </c>
    </row>
    <row r="805" spans="1:10" x14ac:dyDescent="0.35">
      <c r="A805" t="s">
        <v>2770</v>
      </c>
      <c r="B805" t="s">
        <v>2435</v>
      </c>
      <c r="C805" t="s">
        <v>72</v>
      </c>
      <c r="D805" t="s">
        <v>53</v>
      </c>
      <c r="E805" t="s">
        <v>24</v>
      </c>
      <c r="F805" t="s">
        <v>79</v>
      </c>
      <c r="G805" t="s">
        <v>2771</v>
      </c>
      <c r="H805" t="s">
        <v>2772</v>
      </c>
      <c r="I805" t="s">
        <v>49</v>
      </c>
      <c r="J805" t="s">
        <v>19</v>
      </c>
    </row>
    <row r="806" spans="1:10" x14ac:dyDescent="0.35">
      <c r="A806" t="s">
        <v>2773</v>
      </c>
      <c r="B806" t="s">
        <v>561</v>
      </c>
      <c r="C806" t="s">
        <v>12</v>
      </c>
      <c r="D806" t="s">
        <v>13</v>
      </c>
      <c r="E806" t="s">
        <v>14</v>
      </c>
      <c r="F806" t="s">
        <v>74</v>
      </c>
      <c r="G806" t="s">
        <v>2774</v>
      </c>
      <c r="H806" t="s">
        <v>2775</v>
      </c>
      <c r="I806" t="s">
        <v>49</v>
      </c>
      <c r="J806" t="s">
        <v>33</v>
      </c>
    </row>
    <row r="807" spans="1:10" x14ac:dyDescent="0.35">
      <c r="A807" t="s">
        <v>2776</v>
      </c>
      <c r="B807" t="s">
        <v>1373</v>
      </c>
      <c r="C807" t="s">
        <v>72</v>
      </c>
      <c r="D807" t="s">
        <v>53</v>
      </c>
      <c r="E807" t="s">
        <v>134</v>
      </c>
      <c r="F807" t="s">
        <v>15</v>
      </c>
      <c r="G807" t="s">
        <v>2777</v>
      </c>
      <c r="H807" t="s">
        <v>2778</v>
      </c>
      <c r="I807" t="s">
        <v>18</v>
      </c>
      <c r="J807" t="s">
        <v>41</v>
      </c>
    </row>
    <row r="808" spans="1:10" x14ac:dyDescent="0.35">
      <c r="A808" t="s">
        <v>2779</v>
      </c>
      <c r="B808" t="s">
        <v>523</v>
      </c>
      <c r="C808" t="s">
        <v>12</v>
      </c>
      <c r="D808" t="s">
        <v>23</v>
      </c>
      <c r="E808" t="s">
        <v>109</v>
      </c>
      <c r="F808" t="s">
        <v>74</v>
      </c>
      <c r="G808" t="s">
        <v>2780</v>
      </c>
      <c r="H808" t="s">
        <v>2781</v>
      </c>
      <c r="I808" t="s">
        <v>32</v>
      </c>
      <c r="J808" t="s">
        <v>41</v>
      </c>
    </row>
    <row r="809" spans="1:10" x14ac:dyDescent="0.35">
      <c r="A809" t="s">
        <v>2782</v>
      </c>
      <c r="B809" t="s">
        <v>209</v>
      </c>
      <c r="C809" t="s">
        <v>72</v>
      </c>
      <c r="D809" t="s">
        <v>73</v>
      </c>
      <c r="E809" t="s">
        <v>45</v>
      </c>
      <c r="F809" t="s">
        <v>15</v>
      </c>
      <c r="G809" t="s">
        <v>2783</v>
      </c>
      <c r="H809" t="s">
        <v>2784</v>
      </c>
      <c r="I809" t="s">
        <v>49</v>
      </c>
      <c r="J809" t="s">
        <v>19</v>
      </c>
    </row>
    <row r="810" spans="1:10" x14ac:dyDescent="0.35">
      <c r="A810" t="s">
        <v>2785</v>
      </c>
      <c r="B810" t="s">
        <v>469</v>
      </c>
      <c r="C810" t="s">
        <v>22</v>
      </c>
      <c r="D810" t="s">
        <v>13</v>
      </c>
      <c r="E810" t="s">
        <v>14</v>
      </c>
      <c r="F810" t="s">
        <v>79</v>
      </c>
      <c r="G810" t="s">
        <v>2786</v>
      </c>
      <c r="H810" t="s">
        <v>2787</v>
      </c>
      <c r="I810" t="s">
        <v>18</v>
      </c>
      <c r="J810" t="s">
        <v>33</v>
      </c>
    </row>
    <row r="811" spans="1:10" x14ac:dyDescent="0.35">
      <c r="A811" t="s">
        <v>2788</v>
      </c>
      <c r="B811" t="s">
        <v>438</v>
      </c>
      <c r="C811" t="s">
        <v>22</v>
      </c>
      <c r="D811" t="s">
        <v>36</v>
      </c>
      <c r="E811" t="s">
        <v>109</v>
      </c>
      <c r="F811" t="s">
        <v>25</v>
      </c>
      <c r="G811" t="s">
        <v>2789</v>
      </c>
      <c r="H811" t="s">
        <v>2790</v>
      </c>
      <c r="I811" t="s">
        <v>49</v>
      </c>
      <c r="J811" t="s">
        <v>19</v>
      </c>
    </row>
    <row r="812" spans="1:10" x14ac:dyDescent="0.35">
      <c r="A812" t="s">
        <v>2791</v>
      </c>
      <c r="B812" t="s">
        <v>629</v>
      </c>
      <c r="C812" t="s">
        <v>12</v>
      </c>
      <c r="D812" t="s">
        <v>13</v>
      </c>
      <c r="E812" t="s">
        <v>134</v>
      </c>
      <c r="F812" t="s">
        <v>25</v>
      </c>
      <c r="G812" t="s">
        <v>2792</v>
      </c>
      <c r="H812" t="s">
        <v>2793</v>
      </c>
      <c r="I812" t="s">
        <v>32</v>
      </c>
      <c r="J812" t="s">
        <v>64</v>
      </c>
    </row>
    <row r="813" spans="1:10" x14ac:dyDescent="0.35">
      <c r="A813" t="s">
        <v>2794</v>
      </c>
      <c r="B813" t="s">
        <v>809</v>
      </c>
      <c r="C813" t="s">
        <v>99</v>
      </c>
      <c r="D813" t="s">
        <v>73</v>
      </c>
      <c r="E813" t="s">
        <v>45</v>
      </c>
      <c r="F813" t="s">
        <v>38</v>
      </c>
      <c r="G813" t="s">
        <v>2795</v>
      </c>
      <c r="H813" t="s">
        <v>2796</v>
      </c>
      <c r="I813" t="s">
        <v>49</v>
      </c>
      <c r="J813" t="s">
        <v>64</v>
      </c>
    </row>
    <row r="814" spans="1:10" x14ac:dyDescent="0.35">
      <c r="A814" t="s">
        <v>2797</v>
      </c>
      <c r="B814" t="s">
        <v>2045</v>
      </c>
      <c r="C814" t="s">
        <v>52</v>
      </c>
      <c r="D814" t="s">
        <v>73</v>
      </c>
      <c r="E814" t="s">
        <v>134</v>
      </c>
      <c r="F814" t="s">
        <v>25</v>
      </c>
      <c r="G814" t="s">
        <v>2798</v>
      </c>
      <c r="H814" t="s">
        <v>2799</v>
      </c>
      <c r="I814" t="s">
        <v>32</v>
      </c>
      <c r="J814" t="s">
        <v>64</v>
      </c>
    </row>
    <row r="815" spans="1:10" x14ac:dyDescent="0.35">
      <c r="A815" t="s">
        <v>2800</v>
      </c>
      <c r="B815" t="s">
        <v>1618</v>
      </c>
      <c r="C815" t="s">
        <v>52</v>
      </c>
      <c r="D815" t="s">
        <v>23</v>
      </c>
      <c r="E815" t="s">
        <v>134</v>
      </c>
      <c r="F815" t="s">
        <v>74</v>
      </c>
      <c r="G815" t="s">
        <v>2801</v>
      </c>
      <c r="H815" t="s">
        <v>2802</v>
      </c>
      <c r="I815" t="s">
        <v>18</v>
      </c>
      <c r="J815" t="s">
        <v>33</v>
      </c>
    </row>
    <row r="816" spans="1:10" x14ac:dyDescent="0.35">
      <c r="A816" t="s">
        <v>2803</v>
      </c>
      <c r="B816" t="s">
        <v>2804</v>
      </c>
      <c r="C816" t="s">
        <v>67</v>
      </c>
      <c r="D816" t="s">
        <v>53</v>
      </c>
      <c r="E816" t="s">
        <v>37</v>
      </c>
      <c r="F816" t="s">
        <v>79</v>
      </c>
      <c r="G816" t="s">
        <v>2805</v>
      </c>
      <c r="H816" t="s">
        <v>2806</v>
      </c>
      <c r="I816" t="s">
        <v>49</v>
      </c>
      <c r="J816" t="s">
        <v>64</v>
      </c>
    </row>
    <row r="817" spans="1:10" x14ac:dyDescent="0.35">
      <c r="A817" t="s">
        <v>2807</v>
      </c>
      <c r="B817" t="s">
        <v>302</v>
      </c>
      <c r="C817" t="s">
        <v>52</v>
      </c>
      <c r="D817" t="s">
        <v>23</v>
      </c>
      <c r="E817" t="s">
        <v>14</v>
      </c>
      <c r="F817" t="s">
        <v>38</v>
      </c>
      <c r="G817" t="s">
        <v>2808</v>
      </c>
      <c r="H817" t="s">
        <v>2809</v>
      </c>
      <c r="I817" t="s">
        <v>32</v>
      </c>
      <c r="J817" t="s">
        <v>19</v>
      </c>
    </row>
    <row r="818" spans="1:10" x14ac:dyDescent="0.35">
      <c r="A818" t="s">
        <v>2810</v>
      </c>
      <c r="B818" t="s">
        <v>469</v>
      </c>
      <c r="C818" t="s">
        <v>108</v>
      </c>
      <c r="D818" t="s">
        <v>36</v>
      </c>
      <c r="E818" t="s">
        <v>134</v>
      </c>
      <c r="F818" t="s">
        <v>46</v>
      </c>
      <c r="G818" t="s">
        <v>2811</v>
      </c>
      <c r="H818" t="s">
        <v>2812</v>
      </c>
      <c r="I818" t="s">
        <v>18</v>
      </c>
      <c r="J818" t="s">
        <v>33</v>
      </c>
    </row>
    <row r="819" spans="1:10" x14ac:dyDescent="0.35">
      <c r="A819" t="s">
        <v>2813</v>
      </c>
      <c r="B819" t="s">
        <v>2814</v>
      </c>
      <c r="C819" t="s">
        <v>72</v>
      </c>
      <c r="D819" t="s">
        <v>36</v>
      </c>
      <c r="E819" t="s">
        <v>134</v>
      </c>
      <c r="F819" t="s">
        <v>25</v>
      </c>
      <c r="G819" t="s">
        <v>2815</v>
      </c>
      <c r="H819" t="s">
        <v>2816</v>
      </c>
      <c r="I819" t="s">
        <v>18</v>
      </c>
      <c r="J819" t="s">
        <v>33</v>
      </c>
    </row>
    <row r="820" spans="1:10" x14ac:dyDescent="0.35">
      <c r="A820" t="s">
        <v>2817</v>
      </c>
      <c r="B820" t="s">
        <v>465</v>
      </c>
      <c r="C820" t="s">
        <v>67</v>
      </c>
      <c r="D820" t="s">
        <v>13</v>
      </c>
      <c r="E820" t="s">
        <v>14</v>
      </c>
      <c r="F820" t="s">
        <v>46</v>
      </c>
      <c r="G820" t="s">
        <v>2818</v>
      </c>
      <c r="H820" t="s">
        <v>2819</v>
      </c>
      <c r="I820" t="s">
        <v>32</v>
      </c>
      <c r="J820" t="s">
        <v>41</v>
      </c>
    </row>
    <row r="821" spans="1:10" x14ac:dyDescent="0.35">
      <c r="A821" t="s">
        <v>2820</v>
      </c>
      <c r="B821" t="s">
        <v>887</v>
      </c>
      <c r="C821" t="s">
        <v>22</v>
      </c>
      <c r="D821" t="s">
        <v>23</v>
      </c>
      <c r="E821" t="s">
        <v>14</v>
      </c>
      <c r="F821" t="s">
        <v>25</v>
      </c>
      <c r="G821" t="s">
        <v>2821</v>
      </c>
      <c r="H821" t="s">
        <v>2822</v>
      </c>
      <c r="I821" t="s">
        <v>49</v>
      </c>
      <c r="J821" t="s">
        <v>33</v>
      </c>
    </row>
    <row r="822" spans="1:10" x14ac:dyDescent="0.35">
      <c r="A822" t="s">
        <v>2823</v>
      </c>
      <c r="B822" t="s">
        <v>606</v>
      </c>
      <c r="C822" t="s">
        <v>108</v>
      </c>
      <c r="D822" t="s">
        <v>53</v>
      </c>
      <c r="E822" t="s">
        <v>45</v>
      </c>
      <c r="F822" t="s">
        <v>74</v>
      </c>
      <c r="G822" t="s">
        <v>2824</v>
      </c>
      <c r="H822" t="s">
        <v>2825</v>
      </c>
      <c r="I822" t="s">
        <v>32</v>
      </c>
      <c r="J822" t="s">
        <v>33</v>
      </c>
    </row>
    <row r="823" spans="1:10" x14ac:dyDescent="0.35">
      <c r="A823" t="s">
        <v>2826</v>
      </c>
      <c r="B823" t="s">
        <v>1739</v>
      </c>
      <c r="C823" t="s">
        <v>22</v>
      </c>
      <c r="D823" t="s">
        <v>53</v>
      </c>
      <c r="E823" t="s">
        <v>134</v>
      </c>
      <c r="F823" t="s">
        <v>46</v>
      </c>
      <c r="G823" t="s">
        <v>2827</v>
      </c>
      <c r="H823" t="s">
        <v>2828</v>
      </c>
      <c r="I823" t="s">
        <v>18</v>
      </c>
      <c r="J823" t="s">
        <v>33</v>
      </c>
    </row>
    <row r="824" spans="1:10" x14ac:dyDescent="0.35">
      <c r="A824" t="s">
        <v>2829</v>
      </c>
      <c r="B824" t="s">
        <v>871</v>
      </c>
      <c r="C824" t="s">
        <v>108</v>
      </c>
      <c r="D824" t="s">
        <v>73</v>
      </c>
      <c r="E824" t="s">
        <v>109</v>
      </c>
      <c r="F824" t="s">
        <v>46</v>
      </c>
      <c r="G824" t="s">
        <v>2830</v>
      </c>
      <c r="H824" t="s">
        <v>2831</v>
      </c>
      <c r="I824" t="s">
        <v>32</v>
      </c>
      <c r="J824" t="s">
        <v>19</v>
      </c>
    </row>
    <row r="825" spans="1:10" x14ac:dyDescent="0.35">
      <c r="A825" t="s">
        <v>2832</v>
      </c>
      <c r="B825" t="s">
        <v>598</v>
      </c>
      <c r="C825" t="s">
        <v>72</v>
      </c>
      <c r="D825" t="s">
        <v>36</v>
      </c>
      <c r="E825" t="s">
        <v>37</v>
      </c>
      <c r="F825" t="s">
        <v>38</v>
      </c>
      <c r="G825" t="s">
        <v>2833</v>
      </c>
      <c r="H825" t="s">
        <v>2834</v>
      </c>
      <c r="I825" t="s">
        <v>18</v>
      </c>
      <c r="J825" t="s">
        <v>64</v>
      </c>
    </row>
    <row r="826" spans="1:10" x14ac:dyDescent="0.35">
      <c r="A826" t="s">
        <v>2835</v>
      </c>
      <c r="B826" t="s">
        <v>146</v>
      </c>
      <c r="C826" t="s">
        <v>99</v>
      </c>
      <c r="D826" t="s">
        <v>13</v>
      </c>
      <c r="E826" t="s">
        <v>45</v>
      </c>
      <c r="F826" t="s">
        <v>15</v>
      </c>
      <c r="G826" t="s">
        <v>2836</v>
      </c>
      <c r="H826" t="s">
        <v>2837</v>
      </c>
      <c r="I826" t="s">
        <v>18</v>
      </c>
      <c r="J826" t="s">
        <v>19</v>
      </c>
    </row>
    <row r="827" spans="1:10" x14ac:dyDescent="0.35">
      <c r="A827" t="s">
        <v>2838</v>
      </c>
      <c r="B827" t="s">
        <v>1398</v>
      </c>
      <c r="C827" t="s">
        <v>22</v>
      </c>
      <c r="D827" t="s">
        <v>44</v>
      </c>
      <c r="E827" t="s">
        <v>109</v>
      </c>
      <c r="F827" t="s">
        <v>79</v>
      </c>
      <c r="G827" t="s">
        <v>2839</v>
      </c>
      <c r="H827" t="s">
        <v>2840</v>
      </c>
      <c r="I827" t="s">
        <v>32</v>
      </c>
      <c r="J827" t="s">
        <v>33</v>
      </c>
    </row>
    <row r="828" spans="1:10" x14ac:dyDescent="0.35">
      <c r="A828" t="s">
        <v>2841</v>
      </c>
      <c r="B828" t="s">
        <v>2096</v>
      </c>
      <c r="C828" t="s">
        <v>67</v>
      </c>
      <c r="D828" t="s">
        <v>73</v>
      </c>
      <c r="E828" t="s">
        <v>134</v>
      </c>
      <c r="F828" t="s">
        <v>79</v>
      </c>
      <c r="G828" t="s">
        <v>2842</v>
      </c>
      <c r="H828" t="s">
        <v>2843</v>
      </c>
      <c r="I828" t="s">
        <v>18</v>
      </c>
      <c r="J828" t="s">
        <v>33</v>
      </c>
    </row>
    <row r="829" spans="1:10" x14ac:dyDescent="0.35">
      <c r="A829" t="s">
        <v>2844</v>
      </c>
      <c r="B829" t="s">
        <v>786</v>
      </c>
      <c r="C829" t="s">
        <v>22</v>
      </c>
      <c r="D829" t="s">
        <v>23</v>
      </c>
      <c r="E829" t="s">
        <v>24</v>
      </c>
      <c r="F829" t="s">
        <v>74</v>
      </c>
      <c r="G829" t="s">
        <v>2845</v>
      </c>
      <c r="H829" t="s">
        <v>2846</v>
      </c>
      <c r="I829" t="s">
        <v>49</v>
      </c>
      <c r="J829" t="s">
        <v>19</v>
      </c>
    </row>
    <row r="830" spans="1:10" x14ac:dyDescent="0.35">
      <c r="A830" t="s">
        <v>2847</v>
      </c>
      <c r="B830" t="s">
        <v>438</v>
      </c>
      <c r="C830" t="s">
        <v>72</v>
      </c>
      <c r="D830" t="s">
        <v>44</v>
      </c>
      <c r="E830" t="s">
        <v>109</v>
      </c>
      <c r="F830" t="s">
        <v>46</v>
      </c>
      <c r="G830" t="s">
        <v>2848</v>
      </c>
      <c r="H830" t="s">
        <v>2849</v>
      </c>
      <c r="I830" t="s">
        <v>32</v>
      </c>
      <c r="J830" t="s">
        <v>64</v>
      </c>
    </row>
    <row r="831" spans="1:10" x14ac:dyDescent="0.35">
      <c r="A831" t="s">
        <v>2850</v>
      </c>
      <c r="B831" t="s">
        <v>659</v>
      </c>
      <c r="C831" t="s">
        <v>22</v>
      </c>
      <c r="D831" t="s">
        <v>23</v>
      </c>
      <c r="E831" t="s">
        <v>24</v>
      </c>
      <c r="F831" t="s">
        <v>38</v>
      </c>
      <c r="G831" t="s">
        <v>2851</v>
      </c>
      <c r="H831" t="s">
        <v>2852</v>
      </c>
      <c r="I831" t="s">
        <v>18</v>
      </c>
      <c r="J831" t="s">
        <v>41</v>
      </c>
    </row>
    <row r="832" spans="1:10" x14ac:dyDescent="0.35">
      <c r="A832" t="s">
        <v>2853</v>
      </c>
      <c r="B832" t="s">
        <v>2854</v>
      </c>
      <c r="C832" t="s">
        <v>99</v>
      </c>
      <c r="D832" t="s">
        <v>36</v>
      </c>
      <c r="E832" t="s">
        <v>109</v>
      </c>
      <c r="F832" t="s">
        <v>25</v>
      </c>
      <c r="G832" t="s">
        <v>2855</v>
      </c>
      <c r="H832" t="s">
        <v>2856</v>
      </c>
      <c r="I832" t="s">
        <v>18</v>
      </c>
      <c r="J832" t="s">
        <v>19</v>
      </c>
    </row>
    <row r="833" spans="1:10" x14ac:dyDescent="0.35">
      <c r="A833" t="s">
        <v>2857</v>
      </c>
      <c r="B833" t="s">
        <v>1103</v>
      </c>
      <c r="C833" t="s">
        <v>12</v>
      </c>
      <c r="D833" t="s">
        <v>44</v>
      </c>
      <c r="E833" t="s">
        <v>14</v>
      </c>
      <c r="F833" t="s">
        <v>74</v>
      </c>
      <c r="G833" t="s">
        <v>2858</v>
      </c>
      <c r="H833" t="s">
        <v>2859</v>
      </c>
      <c r="I833" t="s">
        <v>32</v>
      </c>
      <c r="J833" t="s">
        <v>19</v>
      </c>
    </row>
    <row r="834" spans="1:10" x14ac:dyDescent="0.35">
      <c r="A834" t="s">
        <v>2860</v>
      </c>
      <c r="B834" t="s">
        <v>891</v>
      </c>
      <c r="C834" t="s">
        <v>99</v>
      </c>
      <c r="D834" t="s">
        <v>23</v>
      </c>
      <c r="E834" t="s">
        <v>14</v>
      </c>
      <c r="F834" t="s">
        <v>15</v>
      </c>
      <c r="G834" t="s">
        <v>2861</v>
      </c>
      <c r="H834" t="s">
        <v>2862</v>
      </c>
      <c r="I834" t="s">
        <v>32</v>
      </c>
      <c r="J834" t="s">
        <v>41</v>
      </c>
    </row>
    <row r="835" spans="1:10" x14ac:dyDescent="0.35">
      <c r="A835" t="s">
        <v>2863</v>
      </c>
      <c r="B835" t="s">
        <v>29</v>
      </c>
      <c r="C835" t="s">
        <v>99</v>
      </c>
      <c r="D835" t="s">
        <v>73</v>
      </c>
      <c r="E835" t="s">
        <v>14</v>
      </c>
      <c r="F835" t="s">
        <v>46</v>
      </c>
      <c r="G835" t="s">
        <v>2864</v>
      </c>
      <c r="H835" t="s">
        <v>2865</v>
      </c>
      <c r="I835" t="s">
        <v>49</v>
      </c>
      <c r="J835" t="s">
        <v>41</v>
      </c>
    </row>
    <row r="836" spans="1:10" x14ac:dyDescent="0.35">
      <c r="A836" t="s">
        <v>2866</v>
      </c>
      <c r="B836" t="s">
        <v>2558</v>
      </c>
      <c r="C836" t="s">
        <v>99</v>
      </c>
      <c r="D836" t="s">
        <v>13</v>
      </c>
      <c r="E836" t="s">
        <v>14</v>
      </c>
      <c r="F836" t="s">
        <v>46</v>
      </c>
      <c r="G836" t="s">
        <v>2867</v>
      </c>
      <c r="H836" t="s">
        <v>2868</v>
      </c>
      <c r="I836" t="s">
        <v>49</v>
      </c>
      <c r="J836" t="s">
        <v>41</v>
      </c>
    </row>
    <row r="837" spans="1:10" x14ac:dyDescent="0.35">
      <c r="A837" t="s">
        <v>2869</v>
      </c>
      <c r="B837" t="s">
        <v>317</v>
      </c>
      <c r="C837" t="s">
        <v>52</v>
      </c>
      <c r="D837" t="s">
        <v>23</v>
      </c>
      <c r="E837" t="s">
        <v>14</v>
      </c>
      <c r="F837" t="s">
        <v>25</v>
      </c>
      <c r="G837" t="s">
        <v>2870</v>
      </c>
      <c r="H837" t="s">
        <v>2871</v>
      </c>
      <c r="I837" t="s">
        <v>18</v>
      </c>
      <c r="J837" t="s">
        <v>64</v>
      </c>
    </row>
    <row r="838" spans="1:10" x14ac:dyDescent="0.35">
      <c r="A838" t="s">
        <v>2872</v>
      </c>
      <c r="B838" t="s">
        <v>919</v>
      </c>
      <c r="C838" t="s">
        <v>72</v>
      </c>
      <c r="D838" t="s">
        <v>73</v>
      </c>
      <c r="E838" t="s">
        <v>134</v>
      </c>
      <c r="F838" t="s">
        <v>15</v>
      </c>
      <c r="G838" t="s">
        <v>2873</v>
      </c>
      <c r="H838" t="s">
        <v>2874</v>
      </c>
      <c r="I838" t="s">
        <v>49</v>
      </c>
      <c r="J838" t="s">
        <v>41</v>
      </c>
    </row>
    <row r="839" spans="1:10" x14ac:dyDescent="0.35">
      <c r="A839" t="s">
        <v>2875</v>
      </c>
      <c r="B839" t="s">
        <v>1196</v>
      </c>
      <c r="C839" t="s">
        <v>108</v>
      </c>
      <c r="D839" t="s">
        <v>53</v>
      </c>
      <c r="E839" t="s">
        <v>45</v>
      </c>
      <c r="F839" t="s">
        <v>25</v>
      </c>
      <c r="G839" t="s">
        <v>2876</v>
      </c>
      <c r="H839" t="s">
        <v>2877</v>
      </c>
      <c r="I839" t="s">
        <v>49</v>
      </c>
      <c r="J839" t="s">
        <v>33</v>
      </c>
    </row>
    <row r="840" spans="1:10" x14ac:dyDescent="0.35">
      <c r="A840" t="s">
        <v>2878</v>
      </c>
      <c r="B840" t="s">
        <v>2269</v>
      </c>
      <c r="C840" t="s">
        <v>22</v>
      </c>
      <c r="D840" t="s">
        <v>23</v>
      </c>
      <c r="E840" t="s">
        <v>14</v>
      </c>
      <c r="F840" t="s">
        <v>79</v>
      </c>
      <c r="G840" t="s">
        <v>2879</v>
      </c>
      <c r="H840" t="s">
        <v>2880</v>
      </c>
      <c r="I840" t="s">
        <v>18</v>
      </c>
      <c r="J840" t="s">
        <v>41</v>
      </c>
    </row>
    <row r="841" spans="1:10" x14ac:dyDescent="0.35">
      <c r="A841" t="s">
        <v>2881</v>
      </c>
      <c r="B841" t="s">
        <v>2804</v>
      </c>
      <c r="C841" t="s">
        <v>67</v>
      </c>
      <c r="D841" t="s">
        <v>23</v>
      </c>
      <c r="E841" t="s">
        <v>109</v>
      </c>
      <c r="F841" t="s">
        <v>15</v>
      </c>
      <c r="G841" t="s">
        <v>2882</v>
      </c>
      <c r="H841" t="s">
        <v>2883</v>
      </c>
      <c r="I841" t="s">
        <v>32</v>
      </c>
      <c r="J841" t="s">
        <v>41</v>
      </c>
    </row>
    <row r="842" spans="1:10" x14ac:dyDescent="0.35">
      <c r="A842" t="s">
        <v>2884</v>
      </c>
      <c r="B842" t="s">
        <v>725</v>
      </c>
      <c r="C842" t="s">
        <v>52</v>
      </c>
      <c r="D842" t="s">
        <v>13</v>
      </c>
      <c r="E842" t="s">
        <v>109</v>
      </c>
      <c r="F842" t="s">
        <v>46</v>
      </c>
      <c r="G842" t="s">
        <v>2885</v>
      </c>
      <c r="H842" t="s">
        <v>2886</v>
      </c>
      <c r="I842" t="s">
        <v>49</v>
      </c>
      <c r="J842" t="s">
        <v>33</v>
      </c>
    </row>
    <row r="843" spans="1:10" x14ac:dyDescent="0.35">
      <c r="A843" t="s">
        <v>2887</v>
      </c>
      <c r="B843" t="s">
        <v>1055</v>
      </c>
      <c r="C843" t="s">
        <v>108</v>
      </c>
      <c r="D843" t="s">
        <v>73</v>
      </c>
      <c r="E843" t="s">
        <v>24</v>
      </c>
      <c r="F843" t="s">
        <v>46</v>
      </c>
      <c r="G843" t="s">
        <v>2888</v>
      </c>
      <c r="H843" t="s">
        <v>2889</v>
      </c>
      <c r="I843" t="s">
        <v>18</v>
      </c>
      <c r="J843" t="s">
        <v>19</v>
      </c>
    </row>
    <row r="844" spans="1:10" x14ac:dyDescent="0.35">
      <c r="A844" t="s">
        <v>2890</v>
      </c>
      <c r="B844" t="s">
        <v>2891</v>
      </c>
      <c r="C844" t="s">
        <v>22</v>
      </c>
      <c r="D844" t="s">
        <v>23</v>
      </c>
      <c r="E844" t="s">
        <v>14</v>
      </c>
      <c r="F844" t="s">
        <v>25</v>
      </c>
      <c r="G844" t="s">
        <v>2892</v>
      </c>
      <c r="H844" t="s">
        <v>2893</v>
      </c>
      <c r="I844" t="s">
        <v>32</v>
      </c>
      <c r="J844" t="s">
        <v>41</v>
      </c>
    </row>
    <row r="845" spans="1:10" x14ac:dyDescent="0.35">
      <c r="A845" t="s">
        <v>2894</v>
      </c>
      <c r="B845" t="s">
        <v>174</v>
      </c>
      <c r="C845" t="s">
        <v>67</v>
      </c>
      <c r="D845" t="s">
        <v>23</v>
      </c>
      <c r="E845" t="s">
        <v>14</v>
      </c>
      <c r="F845" t="s">
        <v>46</v>
      </c>
      <c r="G845" t="s">
        <v>2895</v>
      </c>
      <c r="H845" t="s">
        <v>2896</v>
      </c>
      <c r="I845" t="s">
        <v>18</v>
      </c>
      <c r="J845" t="s">
        <v>33</v>
      </c>
    </row>
    <row r="846" spans="1:10" x14ac:dyDescent="0.35">
      <c r="A846" t="s">
        <v>2897</v>
      </c>
      <c r="B846" t="s">
        <v>2246</v>
      </c>
      <c r="C846" t="s">
        <v>108</v>
      </c>
      <c r="D846" t="s">
        <v>23</v>
      </c>
      <c r="E846" t="s">
        <v>109</v>
      </c>
      <c r="F846" t="s">
        <v>38</v>
      </c>
      <c r="G846" t="s">
        <v>2898</v>
      </c>
      <c r="H846" t="s">
        <v>2899</v>
      </c>
      <c r="I846" t="s">
        <v>49</v>
      </c>
      <c r="J846" t="s">
        <v>64</v>
      </c>
    </row>
    <row r="847" spans="1:10" x14ac:dyDescent="0.35">
      <c r="A847" t="s">
        <v>2900</v>
      </c>
      <c r="B847" t="s">
        <v>197</v>
      </c>
      <c r="C847" t="s">
        <v>72</v>
      </c>
      <c r="D847" t="s">
        <v>53</v>
      </c>
      <c r="E847" t="s">
        <v>37</v>
      </c>
      <c r="F847" t="s">
        <v>74</v>
      </c>
      <c r="G847" t="s">
        <v>2901</v>
      </c>
      <c r="H847" t="s">
        <v>2902</v>
      </c>
      <c r="I847" t="s">
        <v>49</v>
      </c>
      <c r="J847" t="s">
        <v>64</v>
      </c>
    </row>
    <row r="848" spans="1:10" x14ac:dyDescent="0.35">
      <c r="A848" t="s">
        <v>2903</v>
      </c>
      <c r="B848" t="s">
        <v>2904</v>
      </c>
      <c r="C848" t="s">
        <v>52</v>
      </c>
      <c r="D848" t="s">
        <v>44</v>
      </c>
      <c r="E848" t="s">
        <v>24</v>
      </c>
      <c r="F848" t="s">
        <v>46</v>
      </c>
      <c r="G848" t="s">
        <v>2905</v>
      </c>
      <c r="H848" t="s">
        <v>2906</v>
      </c>
      <c r="I848" t="s">
        <v>32</v>
      </c>
      <c r="J848" t="s">
        <v>64</v>
      </c>
    </row>
    <row r="849" spans="1:10" x14ac:dyDescent="0.35">
      <c r="A849" t="s">
        <v>2907</v>
      </c>
      <c r="B849" t="s">
        <v>1394</v>
      </c>
      <c r="C849" t="s">
        <v>72</v>
      </c>
      <c r="D849" t="s">
        <v>73</v>
      </c>
      <c r="E849" t="s">
        <v>24</v>
      </c>
      <c r="F849" t="s">
        <v>15</v>
      </c>
      <c r="G849" t="s">
        <v>2908</v>
      </c>
      <c r="H849" t="s">
        <v>2909</v>
      </c>
      <c r="I849" t="s">
        <v>32</v>
      </c>
      <c r="J849" t="s">
        <v>19</v>
      </c>
    </row>
    <row r="850" spans="1:10" x14ac:dyDescent="0.35">
      <c r="A850" t="s">
        <v>2910</v>
      </c>
      <c r="B850" t="s">
        <v>221</v>
      </c>
      <c r="C850" t="s">
        <v>22</v>
      </c>
      <c r="D850" t="s">
        <v>73</v>
      </c>
      <c r="E850" t="s">
        <v>134</v>
      </c>
      <c r="F850" t="s">
        <v>74</v>
      </c>
      <c r="G850" t="s">
        <v>2911</v>
      </c>
      <c r="H850" t="s">
        <v>2912</v>
      </c>
      <c r="I850" t="s">
        <v>32</v>
      </c>
      <c r="J850" t="s">
        <v>64</v>
      </c>
    </row>
    <row r="851" spans="1:10" x14ac:dyDescent="0.35">
      <c r="A851" t="s">
        <v>2913</v>
      </c>
      <c r="B851" t="s">
        <v>1735</v>
      </c>
      <c r="C851" t="s">
        <v>22</v>
      </c>
      <c r="D851" t="s">
        <v>53</v>
      </c>
      <c r="E851" t="s">
        <v>134</v>
      </c>
      <c r="F851" t="s">
        <v>46</v>
      </c>
      <c r="G851" t="s">
        <v>2914</v>
      </c>
      <c r="H851" t="s">
        <v>2915</v>
      </c>
      <c r="I851" t="s">
        <v>32</v>
      </c>
      <c r="J851" t="s">
        <v>33</v>
      </c>
    </row>
    <row r="852" spans="1:10" x14ac:dyDescent="0.35">
      <c r="A852" t="s">
        <v>2916</v>
      </c>
      <c r="B852" t="s">
        <v>837</v>
      </c>
      <c r="C852" t="s">
        <v>22</v>
      </c>
      <c r="D852" t="s">
        <v>44</v>
      </c>
      <c r="E852" t="s">
        <v>134</v>
      </c>
      <c r="F852" t="s">
        <v>74</v>
      </c>
      <c r="G852" t="s">
        <v>2917</v>
      </c>
      <c r="H852" t="s">
        <v>2918</v>
      </c>
      <c r="I852" t="s">
        <v>32</v>
      </c>
      <c r="J852" t="s">
        <v>64</v>
      </c>
    </row>
    <row r="853" spans="1:10" x14ac:dyDescent="0.35">
      <c r="A853" t="s">
        <v>2919</v>
      </c>
      <c r="B853" t="s">
        <v>2201</v>
      </c>
      <c r="C853" t="s">
        <v>72</v>
      </c>
      <c r="D853" t="s">
        <v>44</v>
      </c>
      <c r="E853" t="s">
        <v>14</v>
      </c>
      <c r="F853" t="s">
        <v>38</v>
      </c>
      <c r="G853" t="s">
        <v>2920</v>
      </c>
      <c r="H853" t="s">
        <v>2921</v>
      </c>
      <c r="I853" t="s">
        <v>49</v>
      </c>
      <c r="J853" t="s">
        <v>33</v>
      </c>
    </row>
    <row r="854" spans="1:10" x14ac:dyDescent="0.35">
      <c r="A854" t="s">
        <v>2922</v>
      </c>
      <c r="B854" t="s">
        <v>1300</v>
      </c>
      <c r="C854" t="s">
        <v>52</v>
      </c>
      <c r="D854" t="s">
        <v>36</v>
      </c>
      <c r="E854" t="s">
        <v>134</v>
      </c>
      <c r="F854" t="s">
        <v>79</v>
      </c>
      <c r="G854" t="s">
        <v>2923</v>
      </c>
      <c r="H854" t="s">
        <v>2924</v>
      </c>
      <c r="I854" t="s">
        <v>49</v>
      </c>
      <c r="J854" t="s">
        <v>64</v>
      </c>
    </row>
    <row r="855" spans="1:10" x14ac:dyDescent="0.35">
      <c r="A855" t="s">
        <v>2925</v>
      </c>
      <c r="B855" t="s">
        <v>351</v>
      </c>
      <c r="C855" t="s">
        <v>67</v>
      </c>
      <c r="D855" t="s">
        <v>53</v>
      </c>
      <c r="E855" t="s">
        <v>109</v>
      </c>
      <c r="F855" t="s">
        <v>38</v>
      </c>
      <c r="G855" t="s">
        <v>2926</v>
      </c>
      <c r="H855" t="s">
        <v>2927</v>
      </c>
      <c r="I855" t="s">
        <v>49</v>
      </c>
      <c r="J855" t="s">
        <v>64</v>
      </c>
    </row>
    <row r="856" spans="1:10" x14ac:dyDescent="0.35">
      <c r="A856" t="s">
        <v>2928</v>
      </c>
      <c r="B856" t="s">
        <v>1011</v>
      </c>
      <c r="C856" t="s">
        <v>99</v>
      </c>
      <c r="D856" t="s">
        <v>13</v>
      </c>
      <c r="E856" t="s">
        <v>37</v>
      </c>
      <c r="F856" t="s">
        <v>46</v>
      </c>
      <c r="G856" t="s">
        <v>2929</v>
      </c>
      <c r="H856" t="s">
        <v>2930</v>
      </c>
      <c r="I856" t="s">
        <v>18</v>
      </c>
      <c r="J856" t="s">
        <v>33</v>
      </c>
    </row>
    <row r="857" spans="1:10" x14ac:dyDescent="0.35">
      <c r="A857" t="s">
        <v>2931</v>
      </c>
      <c r="B857" t="s">
        <v>133</v>
      </c>
      <c r="C857" t="s">
        <v>22</v>
      </c>
      <c r="D857" t="s">
        <v>23</v>
      </c>
      <c r="E857" t="s">
        <v>14</v>
      </c>
      <c r="F857" t="s">
        <v>15</v>
      </c>
      <c r="G857" t="s">
        <v>2932</v>
      </c>
      <c r="H857" t="s">
        <v>2933</v>
      </c>
      <c r="I857" t="s">
        <v>18</v>
      </c>
      <c r="J857" t="s">
        <v>41</v>
      </c>
    </row>
    <row r="858" spans="1:10" x14ac:dyDescent="0.35">
      <c r="A858" t="s">
        <v>2934</v>
      </c>
      <c r="B858" t="s">
        <v>217</v>
      </c>
      <c r="C858" t="s">
        <v>22</v>
      </c>
      <c r="D858" t="s">
        <v>36</v>
      </c>
      <c r="E858" t="s">
        <v>45</v>
      </c>
      <c r="F858" t="s">
        <v>15</v>
      </c>
      <c r="G858" t="s">
        <v>2935</v>
      </c>
      <c r="H858" t="s">
        <v>2936</v>
      </c>
      <c r="I858" t="s">
        <v>49</v>
      </c>
      <c r="J858" t="s">
        <v>64</v>
      </c>
    </row>
    <row r="859" spans="1:10" x14ac:dyDescent="0.35">
      <c r="A859" t="s">
        <v>2937</v>
      </c>
      <c r="B859" t="s">
        <v>2938</v>
      </c>
      <c r="C859" t="s">
        <v>22</v>
      </c>
      <c r="D859" t="s">
        <v>36</v>
      </c>
      <c r="E859" t="s">
        <v>134</v>
      </c>
      <c r="F859" t="s">
        <v>74</v>
      </c>
      <c r="G859" t="s">
        <v>2939</v>
      </c>
      <c r="H859" t="s">
        <v>2940</v>
      </c>
      <c r="I859" t="s">
        <v>32</v>
      </c>
      <c r="J859" t="s">
        <v>64</v>
      </c>
    </row>
    <row r="860" spans="1:10" x14ac:dyDescent="0.35">
      <c r="A860" t="s">
        <v>2941</v>
      </c>
      <c r="B860" t="s">
        <v>1877</v>
      </c>
      <c r="C860" t="s">
        <v>22</v>
      </c>
      <c r="D860" t="s">
        <v>23</v>
      </c>
      <c r="E860" t="s">
        <v>14</v>
      </c>
      <c r="F860" t="s">
        <v>25</v>
      </c>
      <c r="G860" t="s">
        <v>2942</v>
      </c>
      <c r="H860" t="s">
        <v>2943</v>
      </c>
      <c r="I860" t="s">
        <v>32</v>
      </c>
      <c r="J860" t="s">
        <v>33</v>
      </c>
    </row>
    <row r="861" spans="1:10" x14ac:dyDescent="0.35">
      <c r="A861" t="s">
        <v>2944</v>
      </c>
      <c r="B861" t="s">
        <v>694</v>
      </c>
      <c r="C861" t="s">
        <v>99</v>
      </c>
      <c r="D861" t="s">
        <v>73</v>
      </c>
      <c r="E861" t="s">
        <v>134</v>
      </c>
      <c r="F861" t="s">
        <v>46</v>
      </c>
      <c r="G861" t="s">
        <v>2945</v>
      </c>
      <c r="H861" t="s">
        <v>2946</v>
      </c>
      <c r="I861" t="s">
        <v>49</v>
      </c>
      <c r="J861" t="s">
        <v>33</v>
      </c>
    </row>
    <row r="862" spans="1:10" x14ac:dyDescent="0.35">
      <c r="A862" t="s">
        <v>2947</v>
      </c>
      <c r="B862" t="s">
        <v>1174</v>
      </c>
      <c r="C862" t="s">
        <v>99</v>
      </c>
      <c r="D862" t="s">
        <v>13</v>
      </c>
      <c r="E862" t="s">
        <v>37</v>
      </c>
      <c r="F862" t="s">
        <v>38</v>
      </c>
      <c r="G862" t="s">
        <v>2948</v>
      </c>
      <c r="H862" t="s">
        <v>2949</v>
      </c>
      <c r="I862" t="s">
        <v>32</v>
      </c>
      <c r="J862" t="s">
        <v>33</v>
      </c>
    </row>
    <row r="863" spans="1:10" x14ac:dyDescent="0.35">
      <c r="A863" t="s">
        <v>2950</v>
      </c>
      <c r="B863" t="s">
        <v>2558</v>
      </c>
      <c r="C863" t="s">
        <v>67</v>
      </c>
      <c r="D863" t="s">
        <v>53</v>
      </c>
      <c r="E863" t="s">
        <v>37</v>
      </c>
      <c r="F863" t="s">
        <v>15</v>
      </c>
      <c r="G863" t="s">
        <v>2951</v>
      </c>
      <c r="H863" t="s">
        <v>2952</v>
      </c>
      <c r="I863" t="s">
        <v>18</v>
      </c>
      <c r="J863" t="s">
        <v>41</v>
      </c>
    </row>
    <row r="864" spans="1:10" x14ac:dyDescent="0.35">
      <c r="A864" t="s">
        <v>2953</v>
      </c>
      <c r="B864" t="s">
        <v>988</v>
      </c>
      <c r="C864" t="s">
        <v>12</v>
      </c>
      <c r="D864" t="s">
        <v>53</v>
      </c>
      <c r="E864" t="s">
        <v>37</v>
      </c>
      <c r="F864" t="s">
        <v>25</v>
      </c>
      <c r="G864" t="s">
        <v>2954</v>
      </c>
      <c r="H864" t="s">
        <v>2955</v>
      </c>
      <c r="I864" t="s">
        <v>32</v>
      </c>
      <c r="J864" t="s">
        <v>41</v>
      </c>
    </row>
    <row r="865" spans="1:10" x14ac:dyDescent="0.35">
      <c r="A865" t="s">
        <v>2956</v>
      </c>
      <c r="B865" t="s">
        <v>138</v>
      </c>
      <c r="C865" t="s">
        <v>12</v>
      </c>
      <c r="D865" t="s">
        <v>13</v>
      </c>
      <c r="E865" t="s">
        <v>109</v>
      </c>
      <c r="F865" t="s">
        <v>79</v>
      </c>
      <c r="G865" t="s">
        <v>2957</v>
      </c>
      <c r="H865" t="s">
        <v>2958</v>
      </c>
      <c r="I865" t="s">
        <v>49</v>
      </c>
      <c r="J865" t="s">
        <v>33</v>
      </c>
    </row>
    <row r="866" spans="1:10" x14ac:dyDescent="0.35">
      <c r="A866" t="s">
        <v>2959</v>
      </c>
      <c r="B866" t="s">
        <v>279</v>
      </c>
      <c r="C866" t="s">
        <v>67</v>
      </c>
      <c r="D866" t="s">
        <v>23</v>
      </c>
      <c r="E866" t="s">
        <v>14</v>
      </c>
      <c r="F866" t="s">
        <v>15</v>
      </c>
      <c r="G866" t="s">
        <v>2960</v>
      </c>
      <c r="H866" t="s">
        <v>2961</v>
      </c>
      <c r="I866" t="s">
        <v>18</v>
      </c>
      <c r="J866" t="s">
        <v>64</v>
      </c>
    </row>
    <row r="867" spans="1:10" x14ac:dyDescent="0.35">
      <c r="A867" t="s">
        <v>2962</v>
      </c>
      <c r="B867" t="s">
        <v>286</v>
      </c>
      <c r="C867" t="s">
        <v>72</v>
      </c>
      <c r="D867" t="s">
        <v>13</v>
      </c>
      <c r="E867" t="s">
        <v>45</v>
      </c>
      <c r="F867" t="s">
        <v>74</v>
      </c>
      <c r="G867" t="s">
        <v>2963</v>
      </c>
      <c r="H867" t="s">
        <v>2964</v>
      </c>
      <c r="I867" t="s">
        <v>18</v>
      </c>
      <c r="J867" t="s">
        <v>64</v>
      </c>
    </row>
    <row r="868" spans="1:10" x14ac:dyDescent="0.35">
      <c r="A868" t="s">
        <v>2965</v>
      </c>
      <c r="B868" t="s">
        <v>841</v>
      </c>
      <c r="C868" t="s">
        <v>99</v>
      </c>
      <c r="D868" t="s">
        <v>36</v>
      </c>
      <c r="E868" t="s">
        <v>45</v>
      </c>
      <c r="F868" t="s">
        <v>38</v>
      </c>
      <c r="G868" t="s">
        <v>2966</v>
      </c>
      <c r="H868" t="s">
        <v>2967</v>
      </c>
      <c r="I868" t="s">
        <v>49</v>
      </c>
      <c r="J868" t="s">
        <v>19</v>
      </c>
    </row>
    <row r="869" spans="1:10" x14ac:dyDescent="0.35">
      <c r="A869" t="s">
        <v>2968</v>
      </c>
      <c r="B869" t="s">
        <v>771</v>
      </c>
      <c r="C869" t="s">
        <v>108</v>
      </c>
      <c r="D869" t="s">
        <v>13</v>
      </c>
      <c r="E869" t="s">
        <v>134</v>
      </c>
      <c r="F869" t="s">
        <v>25</v>
      </c>
      <c r="G869" t="s">
        <v>2969</v>
      </c>
      <c r="H869" t="s">
        <v>2970</v>
      </c>
      <c r="I869" t="s">
        <v>49</v>
      </c>
      <c r="J869" t="s">
        <v>33</v>
      </c>
    </row>
    <row r="870" spans="1:10" x14ac:dyDescent="0.35">
      <c r="A870" t="s">
        <v>2971</v>
      </c>
      <c r="B870" t="s">
        <v>358</v>
      </c>
      <c r="C870" t="s">
        <v>22</v>
      </c>
      <c r="D870" t="s">
        <v>13</v>
      </c>
      <c r="E870" t="s">
        <v>109</v>
      </c>
      <c r="F870" t="s">
        <v>15</v>
      </c>
      <c r="G870" t="s">
        <v>2972</v>
      </c>
      <c r="H870" t="s">
        <v>2973</v>
      </c>
      <c r="I870" t="s">
        <v>32</v>
      </c>
      <c r="J870" t="s">
        <v>41</v>
      </c>
    </row>
    <row r="871" spans="1:10" x14ac:dyDescent="0.35">
      <c r="A871" t="s">
        <v>2974</v>
      </c>
      <c r="B871" t="s">
        <v>857</v>
      </c>
      <c r="C871" t="s">
        <v>12</v>
      </c>
      <c r="D871" t="s">
        <v>73</v>
      </c>
      <c r="E871" t="s">
        <v>109</v>
      </c>
      <c r="F871" t="s">
        <v>15</v>
      </c>
      <c r="G871" t="s">
        <v>2975</v>
      </c>
      <c r="H871" t="s">
        <v>2976</v>
      </c>
      <c r="I871" t="s">
        <v>49</v>
      </c>
      <c r="J871" t="s">
        <v>33</v>
      </c>
    </row>
    <row r="872" spans="1:10" x14ac:dyDescent="0.35">
      <c r="A872" t="s">
        <v>2977</v>
      </c>
      <c r="B872" t="s">
        <v>1847</v>
      </c>
      <c r="C872" t="s">
        <v>72</v>
      </c>
      <c r="D872" t="s">
        <v>44</v>
      </c>
      <c r="E872" t="s">
        <v>24</v>
      </c>
      <c r="F872" t="s">
        <v>46</v>
      </c>
      <c r="G872" t="s">
        <v>2978</v>
      </c>
      <c r="H872" t="s">
        <v>2979</v>
      </c>
      <c r="I872" t="s">
        <v>18</v>
      </c>
      <c r="J872" t="s">
        <v>19</v>
      </c>
    </row>
    <row r="873" spans="1:10" x14ac:dyDescent="0.35">
      <c r="A873" t="s">
        <v>2980</v>
      </c>
      <c r="B873" t="s">
        <v>1467</v>
      </c>
      <c r="C873" t="s">
        <v>22</v>
      </c>
      <c r="D873" t="s">
        <v>44</v>
      </c>
      <c r="E873" t="s">
        <v>134</v>
      </c>
      <c r="F873" t="s">
        <v>38</v>
      </c>
      <c r="G873" t="s">
        <v>2981</v>
      </c>
      <c r="H873" t="s">
        <v>2982</v>
      </c>
      <c r="I873" t="s">
        <v>32</v>
      </c>
      <c r="J873" t="s">
        <v>64</v>
      </c>
    </row>
    <row r="874" spans="1:10" x14ac:dyDescent="0.35">
      <c r="A874" t="s">
        <v>2983</v>
      </c>
      <c r="B874" t="s">
        <v>1528</v>
      </c>
      <c r="C874" t="s">
        <v>72</v>
      </c>
      <c r="D874" t="s">
        <v>36</v>
      </c>
      <c r="E874" t="s">
        <v>37</v>
      </c>
      <c r="F874" t="s">
        <v>79</v>
      </c>
      <c r="G874" t="s">
        <v>2984</v>
      </c>
      <c r="H874" t="s">
        <v>2985</v>
      </c>
      <c r="I874" t="s">
        <v>49</v>
      </c>
      <c r="J874" t="s">
        <v>33</v>
      </c>
    </row>
    <row r="875" spans="1:10" x14ac:dyDescent="0.35">
      <c r="A875" t="s">
        <v>2986</v>
      </c>
      <c r="B875" t="s">
        <v>729</v>
      </c>
      <c r="C875" t="s">
        <v>22</v>
      </c>
      <c r="D875" t="s">
        <v>13</v>
      </c>
      <c r="E875" t="s">
        <v>45</v>
      </c>
      <c r="F875" t="s">
        <v>15</v>
      </c>
      <c r="G875" t="s">
        <v>2987</v>
      </c>
      <c r="H875" t="s">
        <v>2988</v>
      </c>
      <c r="I875" t="s">
        <v>18</v>
      </c>
      <c r="J875" t="s">
        <v>33</v>
      </c>
    </row>
    <row r="876" spans="1:10" x14ac:dyDescent="0.35">
      <c r="A876" t="s">
        <v>2989</v>
      </c>
      <c r="B876" t="s">
        <v>2990</v>
      </c>
      <c r="C876" t="s">
        <v>72</v>
      </c>
      <c r="D876" t="s">
        <v>23</v>
      </c>
      <c r="E876" t="s">
        <v>134</v>
      </c>
      <c r="F876" t="s">
        <v>74</v>
      </c>
      <c r="G876" t="s">
        <v>2991</v>
      </c>
      <c r="H876" t="s">
        <v>2992</v>
      </c>
      <c r="I876" t="s">
        <v>49</v>
      </c>
      <c r="J876" t="s">
        <v>19</v>
      </c>
    </row>
    <row r="877" spans="1:10" x14ac:dyDescent="0.35">
      <c r="A877" t="s">
        <v>2993</v>
      </c>
      <c r="B877" t="s">
        <v>1938</v>
      </c>
      <c r="C877" t="s">
        <v>67</v>
      </c>
      <c r="D877" t="s">
        <v>23</v>
      </c>
      <c r="E877" t="s">
        <v>109</v>
      </c>
      <c r="F877" t="s">
        <v>74</v>
      </c>
      <c r="G877" t="s">
        <v>2994</v>
      </c>
      <c r="H877" t="s">
        <v>2995</v>
      </c>
      <c r="I877" t="s">
        <v>18</v>
      </c>
      <c r="J877" t="s">
        <v>19</v>
      </c>
    </row>
    <row r="878" spans="1:10" x14ac:dyDescent="0.35">
      <c r="A878" t="s">
        <v>2996</v>
      </c>
      <c r="B878" t="s">
        <v>1386</v>
      </c>
      <c r="C878" t="s">
        <v>52</v>
      </c>
      <c r="D878" t="s">
        <v>23</v>
      </c>
      <c r="E878" t="s">
        <v>37</v>
      </c>
      <c r="F878" t="s">
        <v>25</v>
      </c>
      <c r="G878" t="s">
        <v>2997</v>
      </c>
      <c r="H878" t="s">
        <v>2998</v>
      </c>
      <c r="I878" t="s">
        <v>49</v>
      </c>
      <c r="J878" t="s">
        <v>41</v>
      </c>
    </row>
    <row r="879" spans="1:10" x14ac:dyDescent="0.35">
      <c r="A879" t="s">
        <v>2999</v>
      </c>
      <c r="B879" t="s">
        <v>1595</v>
      </c>
      <c r="C879" t="s">
        <v>12</v>
      </c>
      <c r="D879" t="s">
        <v>36</v>
      </c>
      <c r="E879" t="s">
        <v>24</v>
      </c>
      <c r="F879" t="s">
        <v>46</v>
      </c>
      <c r="G879" t="s">
        <v>3000</v>
      </c>
      <c r="H879" t="s">
        <v>3001</v>
      </c>
      <c r="I879" t="s">
        <v>49</v>
      </c>
      <c r="J879" t="s">
        <v>64</v>
      </c>
    </row>
    <row r="880" spans="1:10" x14ac:dyDescent="0.35">
      <c r="A880" t="s">
        <v>3002</v>
      </c>
      <c r="B880" t="s">
        <v>477</v>
      </c>
      <c r="C880" t="s">
        <v>67</v>
      </c>
      <c r="D880" t="s">
        <v>44</v>
      </c>
      <c r="E880" t="s">
        <v>37</v>
      </c>
      <c r="F880" t="s">
        <v>46</v>
      </c>
      <c r="G880" t="s">
        <v>3003</v>
      </c>
      <c r="H880" t="s">
        <v>3004</v>
      </c>
      <c r="I880" t="s">
        <v>32</v>
      </c>
      <c r="J880" t="s">
        <v>41</v>
      </c>
    </row>
    <row r="881" spans="1:10" x14ac:dyDescent="0.35">
      <c r="A881" t="s">
        <v>3005</v>
      </c>
      <c r="B881" t="s">
        <v>375</v>
      </c>
      <c r="C881" t="s">
        <v>72</v>
      </c>
      <c r="D881" t="s">
        <v>23</v>
      </c>
      <c r="E881" t="s">
        <v>37</v>
      </c>
      <c r="F881" t="s">
        <v>74</v>
      </c>
      <c r="G881" t="s">
        <v>3006</v>
      </c>
      <c r="H881" t="s">
        <v>3007</v>
      </c>
      <c r="I881" t="s">
        <v>49</v>
      </c>
      <c r="J881" t="s">
        <v>33</v>
      </c>
    </row>
    <row r="882" spans="1:10" x14ac:dyDescent="0.35">
      <c r="A882" t="s">
        <v>3008</v>
      </c>
      <c r="B882" t="s">
        <v>984</v>
      </c>
      <c r="C882" t="s">
        <v>22</v>
      </c>
      <c r="D882" t="s">
        <v>36</v>
      </c>
      <c r="E882" t="s">
        <v>109</v>
      </c>
      <c r="F882" t="s">
        <v>46</v>
      </c>
      <c r="G882" t="s">
        <v>3009</v>
      </c>
      <c r="H882" t="s">
        <v>3010</v>
      </c>
      <c r="I882" t="s">
        <v>49</v>
      </c>
      <c r="J882" t="s">
        <v>41</v>
      </c>
    </row>
    <row r="883" spans="1:10" x14ac:dyDescent="0.35">
      <c r="A883" t="s">
        <v>3011</v>
      </c>
      <c r="B883" t="s">
        <v>1655</v>
      </c>
      <c r="C883" t="s">
        <v>12</v>
      </c>
      <c r="D883" t="s">
        <v>36</v>
      </c>
      <c r="E883" t="s">
        <v>37</v>
      </c>
      <c r="F883" t="s">
        <v>38</v>
      </c>
      <c r="G883" t="s">
        <v>3012</v>
      </c>
      <c r="H883" t="s">
        <v>3013</v>
      </c>
      <c r="I883" t="s">
        <v>18</v>
      </c>
      <c r="J883" t="s">
        <v>19</v>
      </c>
    </row>
    <row r="884" spans="1:10" x14ac:dyDescent="0.35">
      <c r="A884" t="s">
        <v>3014</v>
      </c>
      <c r="B884" t="s">
        <v>1126</v>
      </c>
      <c r="C884" t="s">
        <v>99</v>
      </c>
      <c r="D884" t="s">
        <v>53</v>
      </c>
      <c r="E884" t="s">
        <v>109</v>
      </c>
      <c r="F884" t="s">
        <v>74</v>
      </c>
      <c r="G884" t="s">
        <v>3015</v>
      </c>
      <c r="H884" t="s">
        <v>3016</v>
      </c>
      <c r="I884" t="s">
        <v>49</v>
      </c>
      <c r="J884" t="s">
        <v>41</v>
      </c>
    </row>
    <row r="885" spans="1:10" x14ac:dyDescent="0.35">
      <c r="A885" t="s">
        <v>3017</v>
      </c>
      <c r="B885" t="s">
        <v>113</v>
      </c>
      <c r="C885" t="s">
        <v>67</v>
      </c>
      <c r="D885" t="s">
        <v>44</v>
      </c>
      <c r="E885" t="s">
        <v>134</v>
      </c>
      <c r="F885" t="s">
        <v>46</v>
      </c>
      <c r="G885" t="s">
        <v>3018</v>
      </c>
      <c r="H885" t="s">
        <v>3019</v>
      </c>
      <c r="I885" t="s">
        <v>32</v>
      </c>
      <c r="J885" t="s">
        <v>41</v>
      </c>
    </row>
    <row r="886" spans="1:10" x14ac:dyDescent="0.35">
      <c r="A886" t="s">
        <v>3020</v>
      </c>
      <c r="B886" t="s">
        <v>571</v>
      </c>
      <c r="C886" t="s">
        <v>22</v>
      </c>
      <c r="D886" t="s">
        <v>73</v>
      </c>
      <c r="E886" t="s">
        <v>109</v>
      </c>
      <c r="F886" t="s">
        <v>79</v>
      </c>
      <c r="G886" t="s">
        <v>3021</v>
      </c>
      <c r="H886" t="s">
        <v>3022</v>
      </c>
      <c r="I886" t="s">
        <v>18</v>
      </c>
      <c r="J886" t="s">
        <v>19</v>
      </c>
    </row>
    <row r="887" spans="1:10" x14ac:dyDescent="0.35">
      <c r="A887" t="s">
        <v>3023</v>
      </c>
      <c r="B887" t="s">
        <v>197</v>
      </c>
      <c r="C887" t="s">
        <v>22</v>
      </c>
      <c r="D887" t="s">
        <v>73</v>
      </c>
      <c r="E887" t="s">
        <v>37</v>
      </c>
      <c r="F887" t="s">
        <v>74</v>
      </c>
      <c r="G887" t="s">
        <v>3024</v>
      </c>
      <c r="H887" t="s">
        <v>3025</v>
      </c>
      <c r="I887" t="s">
        <v>49</v>
      </c>
      <c r="J887" t="s">
        <v>19</v>
      </c>
    </row>
    <row r="888" spans="1:10" x14ac:dyDescent="0.35">
      <c r="A888" t="s">
        <v>3026</v>
      </c>
      <c r="B888" t="s">
        <v>1686</v>
      </c>
      <c r="C888" t="s">
        <v>12</v>
      </c>
      <c r="D888" t="s">
        <v>23</v>
      </c>
      <c r="E888" t="s">
        <v>24</v>
      </c>
      <c r="F888" t="s">
        <v>79</v>
      </c>
      <c r="G888" t="s">
        <v>3027</v>
      </c>
      <c r="H888" t="s">
        <v>3028</v>
      </c>
      <c r="I888" t="s">
        <v>18</v>
      </c>
      <c r="J888" t="s">
        <v>64</v>
      </c>
    </row>
    <row r="889" spans="1:10" x14ac:dyDescent="0.35">
      <c r="A889" t="s">
        <v>3029</v>
      </c>
      <c r="B889" t="s">
        <v>186</v>
      </c>
      <c r="C889" t="s">
        <v>12</v>
      </c>
      <c r="D889" t="s">
        <v>36</v>
      </c>
      <c r="E889" t="s">
        <v>134</v>
      </c>
      <c r="F889" t="s">
        <v>15</v>
      </c>
      <c r="G889" t="s">
        <v>3030</v>
      </c>
      <c r="H889" t="s">
        <v>3031</v>
      </c>
      <c r="I889" t="s">
        <v>49</v>
      </c>
      <c r="J889" t="s">
        <v>64</v>
      </c>
    </row>
    <row r="890" spans="1:10" x14ac:dyDescent="0.35">
      <c r="A890" t="s">
        <v>3032</v>
      </c>
      <c r="B890" t="s">
        <v>154</v>
      </c>
      <c r="C890" t="s">
        <v>108</v>
      </c>
      <c r="D890" t="s">
        <v>53</v>
      </c>
      <c r="E890" t="s">
        <v>14</v>
      </c>
      <c r="F890" t="s">
        <v>46</v>
      </c>
      <c r="G890" t="s">
        <v>3033</v>
      </c>
      <c r="H890" t="s">
        <v>3034</v>
      </c>
      <c r="I890" t="s">
        <v>18</v>
      </c>
      <c r="J890" t="s">
        <v>33</v>
      </c>
    </row>
    <row r="891" spans="1:10" x14ac:dyDescent="0.35">
      <c r="A891" t="s">
        <v>3035</v>
      </c>
      <c r="B891" t="s">
        <v>2814</v>
      </c>
      <c r="C891" t="s">
        <v>108</v>
      </c>
      <c r="D891" t="s">
        <v>44</v>
      </c>
      <c r="E891" t="s">
        <v>24</v>
      </c>
      <c r="F891" t="s">
        <v>79</v>
      </c>
      <c r="G891" t="s">
        <v>3036</v>
      </c>
      <c r="H891" t="s">
        <v>3037</v>
      </c>
      <c r="I891" t="s">
        <v>32</v>
      </c>
      <c r="J891" t="s">
        <v>19</v>
      </c>
    </row>
    <row r="892" spans="1:10" x14ac:dyDescent="0.35">
      <c r="A892" t="s">
        <v>3038</v>
      </c>
      <c r="B892" t="s">
        <v>2246</v>
      </c>
      <c r="C892" t="s">
        <v>12</v>
      </c>
      <c r="D892" t="s">
        <v>23</v>
      </c>
      <c r="E892" t="s">
        <v>45</v>
      </c>
      <c r="F892" t="s">
        <v>74</v>
      </c>
      <c r="G892" t="s">
        <v>3039</v>
      </c>
      <c r="H892" t="s">
        <v>3040</v>
      </c>
      <c r="I892" t="s">
        <v>49</v>
      </c>
      <c r="J892" t="s">
        <v>64</v>
      </c>
    </row>
    <row r="893" spans="1:10" x14ac:dyDescent="0.35">
      <c r="A893" t="s">
        <v>3041</v>
      </c>
      <c r="B893" t="s">
        <v>398</v>
      </c>
      <c r="C893" t="s">
        <v>12</v>
      </c>
      <c r="D893" t="s">
        <v>73</v>
      </c>
      <c r="E893" t="s">
        <v>109</v>
      </c>
      <c r="F893" t="s">
        <v>74</v>
      </c>
      <c r="G893" t="s">
        <v>3042</v>
      </c>
      <c r="H893" t="s">
        <v>3043</v>
      </c>
      <c r="I893" t="s">
        <v>32</v>
      </c>
      <c r="J893" t="s">
        <v>33</v>
      </c>
    </row>
    <row r="894" spans="1:10" x14ac:dyDescent="0.35">
      <c r="A894" t="s">
        <v>3044</v>
      </c>
      <c r="B894" t="s">
        <v>290</v>
      </c>
      <c r="C894" t="s">
        <v>108</v>
      </c>
      <c r="D894" t="s">
        <v>44</v>
      </c>
      <c r="E894" t="s">
        <v>24</v>
      </c>
      <c r="F894" t="s">
        <v>25</v>
      </c>
      <c r="G894" t="s">
        <v>3045</v>
      </c>
      <c r="H894" t="s">
        <v>3046</v>
      </c>
      <c r="I894" t="s">
        <v>49</v>
      </c>
      <c r="J894" t="s">
        <v>41</v>
      </c>
    </row>
    <row r="895" spans="1:10" x14ac:dyDescent="0.35">
      <c r="A895" t="s">
        <v>3047</v>
      </c>
      <c r="B895" t="s">
        <v>898</v>
      </c>
      <c r="C895" t="s">
        <v>99</v>
      </c>
      <c r="D895" t="s">
        <v>23</v>
      </c>
      <c r="E895" t="s">
        <v>14</v>
      </c>
      <c r="F895" t="s">
        <v>74</v>
      </c>
      <c r="G895" t="s">
        <v>3048</v>
      </c>
      <c r="H895" t="s">
        <v>3049</v>
      </c>
      <c r="I895" t="s">
        <v>49</v>
      </c>
      <c r="J895" t="s">
        <v>41</v>
      </c>
    </row>
    <row r="896" spans="1:10" x14ac:dyDescent="0.35">
      <c r="A896" t="s">
        <v>3050</v>
      </c>
      <c r="B896" t="s">
        <v>1753</v>
      </c>
      <c r="C896" t="s">
        <v>67</v>
      </c>
      <c r="D896" t="s">
        <v>36</v>
      </c>
      <c r="E896" t="s">
        <v>14</v>
      </c>
      <c r="F896" t="s">
        <v>38</v>
      </c>
      <c r="G896" t="s">
        <v>3051</v>
      </c>
      <c r="H896" t="s">
        <v>3052</v>
      </c>
      <c r="I896" t="s">
        <v>18</v>
      </c>
      <c r="J896" t="s">
        <v>33</v>
      </c>
    </row>
    <row r="897" spans="1:10" x14ac:dyDescent="0.35">
      <c r="A897" t="s">
        <v>3053</v>
      </c>
      <c r="B897" t="s">
        <v>317</v>
      </c>
      <c r="C897" t="s">
        <v>99</v>
      </c>
      <c r="D897" t="s">
        <v>23</v>
      </c>
      <c r="E897" t="s">
        <v>134</v>
      </c>
      <c r="F897" t="s">
        <v>25</v>
      </c>
      <c r="G897" t="s">
        <v>3054</v>
      </c>
      <c r="H897" t="s">
        <v>3055</v>
      </c>
      <c r="I897" t="s">
        <v>32</v>
      </c>
      <c r="J897" t="s">
        <v>64</v>
      </c>
    </row>
    <row r="898" spans="1:10" x14ac:dyDescent="0.35">
      <c r="A898" t="s">
        <v>3056</v>
      </c>
      <c r="B898" t="s">
        <v>1820</v>
      </c>
      <c r="C898" t="s">
        <v>52</v>
      </c>
      <c r="D898" t="s">
        <v>36</v>
      </c>
      <c r="E898" t="s">
        <v>24</v>
      </c>
      <c r="F898" t="s">
        <v>79</v>
      </c>
      <c r="G898" t="s">
        <v>3057</v>
      </c>
      <c r="H898" t="s">
        <v>3058</v>
      </c>
      <c r="I898" t="s">
        <v>18</v>
      </c>
      <c r="J898" t="s">
        <v>64</v>
      </c>
    </row>
    <row r="899" spans="1:10" x14ac:dyDescent="0.35">
      <c r="A899" t="s">
        <v>3059</v>
      </c>
      <c r="B899" t="s">
        <v>3060</v>
      </c>
      <c r="C899" t="s">
        <v>52</v>
      </c>
      <c r="D899" t="s">
        <v>53</v>
      </c>
      <c r="E899" t="s">
        <v>37</v>
      </c>
      <c r="F899" t="s">
        <v>74</v>
      </c>
      <c r="G899" t="s">
        <v>3061</v>
      </c>
      <c r="H899" t="s">
        <v>3062</v>
      </c>
      <c r="I899" t="s">
        <v>18</v>
      </c>
      <c r="J899" t="s">
        <v>19</v>
      </c>
    </row>
    <row r="900" spans="1:10" x14ac:dyDescent="0.35">
      <c r="A900" t="s">
        <v>3063</v>
      </c>
      <c r="B900" t="s">
        <v>2068</v>
      </c>
      <c r="C900" t="s">
        <v>72</v>
      </c>
      <c r="D900" t="s">
        <v>23</v>
      </c>
      <c r="E900" t="s">
        <v>24</v>
      </c>
      <c r="F900" t="s">
        <v>46</v>
      </c>
      <c r="G900" t="s">
        <v>3064</v>
      </c>
      <c r="H900" t="s">
        <v>3065</v>
      </c>
      <c r="I900" t="s">
        <v>49</v>
      </c>
      <c r="J900" t="s">
        <v>64</v>
      </c>
    </row>
    <row r="901" spans="1:10" x14ac:dyDescent="0.35">
      <c r="A901" t="s">
        <v>3066</v>
      </c>
      <c r="B901" t="s">
        <v>1907</v>
      </c>
      <c r="C901" t="s">
        <v>12</v>
      </c>
      <c r="D901" t="s">
        <v>23</v>
      </c>
      <c r="E901" t="s">
        <v>134</v>
      </c>
      <c r="F901" t="s">
        <v>74</v>
      </c>
      <c r="G901" t="s">
        <v>3067</v>
      </c>
      <c r="H901" t="s">
        <v>3068</v>
      </c>
      <c r="I901" t="s">
        <v>32</v>
      </c>
      <c r="J901" t="s">
        <v>33</v>
      </c>
    </row>
    <row r="902" spans="1:10" x14ac:dyDescent="0.35">
      <c r="A902" t="s">
        <v>3069</v>
      </c>
      <c r="B902" t="s">
        <v>680</v>
      </c>
      <c r="C902" t="s">
        <v>72</v>
      </c>
      <c r="D902" t="s">
        <v>23</v>
      </c>
      <c r="E902" t="s">
        <v>134</v>
      </c>
      <c r="F902" t="s">
        <v>25</v>
      </c>
      <c r="G902" t="s">
        <v>3070</v>
      </c>
      <c r="H902" t="s">
        <v>3071</v>
      </c>
      <c r="I902" t="s">
        <v>18</v>
      </c>
      <c r="J902" t="s">
        <v>41</v>
      </c>
    </row>
    <row r="903" spans="1:10" x14ac:dyDescent="0.35">
      <c r="A903" t="s">
        <v>3072</v>
      </c>
      <c r="B903" t="s">
        <v>1558</v>
      </c>
      <c r="C903" t="s">
        <v>22</v>
      </c>
      <c r="D903" t="s">
        <v>73</v>
      </c>
      <c r="E903" t="s">
        <v>45</v>
      </c>
      <c r="F903" t="s">
        <v>46</v>
      </c>
      <c r="G903" t="s">
        <v>3073</v>
      </c>
      <c r="H903" t="s">
        <v>3074</v>
      </c>
      <c r="I903" t="s">
        <v>49</v>
      </c>
      <c r="J903" t="s">
        <v>64</v>
      </c>
    </row>
    <row r="904" spans="1:10" x14ac:dyDescent="0.35">
      <c r="A904" t="s">
        <v>3075</v>
      </c>
      <c r="B904" t="s">
        <v>1840</v>
      </c>
      <c r="C904" t="s">
        <v>99</v>
      </c>
      <c r="D904" t="s">
        <v>73</v>
      </c>
      <c r="E904" t="s">
        <v>45</v>
      </c>
      <c r="F904" t="s">
        <v>25</v>
      </c>
      <c r="G904" t="s">
        <v>3076</v>
      </c>
      <c r="H904" t="s">
        <v>3077</v>
      </c>
      <c r="I904" t="s">
        <v>49</v>
      </c>
      <c r="J904" t="s">
        <v>33</v>
      </c>
    </row>
    <row r="905" spans="1:10" x14ac:dyDescent="0.35">
      <c r="A905" t="s">
        <v>3078</v>
      </c>
      <c r="B905" t="s">
        <v>837</v>
      </c>
      <c r="C905" t="s">
        <v>67</v>
      </c>
      <c r="D905" t="s">
        <v>23</v>
      </c>
      <c r="E905" t="s">
        <v>37</v>
      </c>
      <c r="F905" t="s">
        <v>79</v>
      </c>
      <c r="G905" t="s">
        <v>3079</v>
      </c>
      <c r="H905" t="s">
        <v>3080</v>
      </c>
      <c r="I905" t="s">
        <v>32</v>
      </c>
      <c r="J905" t="s">
        <v>33</v>
      </c>
    </row>
    <row r="906" spans="1:10" x14ac:dyDescent="0.35">
      <c r="A906" t="s">
        <v>3081</v>
      </c>
      <c r="B906" t="s">
        <v>257</v>
      </c>
      <c r="C906" t="s">
        <v>52</v>
      </c>
      <c r="D906" t="s">
        <v>44</v>
      </c>
      <c r="E906" t="s">
        <v>24</v>
      </c>
      <c r="F906" t="s">
        <v>74</v>
      </c>
      <c r="G906" t="s">
        <v>3082</v>
      </c>
      <c r="H906" t="s">
        <v>3083</v>
      </c>
      <c r="I906" t="s">
        <v>49</v>
      </c>
      <c r="J906" t="s">
        <v>33</v>
      </c>
    </row>
    <row r="907" spans="1:10" x14ac:dyDescent="0.35">
      <c r="A907" t="s">
        <v>3084</v>
      </c>
      <c r="B907" t="s">
        <v>853</v>
      </c>
      <c r="C907" t="s">
        <v>108</v>
      </c>
      <c r="D907" t="s">
        <v>36</v>
      </c>
      <c r="E907" t="s">
        <v>134</v>
      </c>
      <c r="F907" t="s">
        <v>74</v>
      </c>
      <c r="G907" t="s">
        <v>3085</v>
      </c>
      <c r="H907" t="s">
        <v>3086</v>
      </c>
      <c r="I907" t="s">
        <v>49</v>
      </c>
      <c r="J907" t="s">
        <v>41</v>
      </c>
    </row>
    <row r="908" spans="1:10" x14ac:dyDescent="0.35">
      <c r="A908" t="s">
        <v>3087</v>
      </c>
      <c r="B908" t="s">
        <v>332</v>
      </c>
      <c r="C908" t="s">
        <v>99</v>
      </c>
      <c r="D908" t="s">
        <v>23</v>
      </c>
      <c r="E908" t="s">
        <v>14</v>
      </c>
      <c r="F908" t="s">
        <v>25</v>
      </c>
      <c r="G908" t="s">
        <v>3088</v>
      </c>
      <c r="H908" t="s">
        <v>3089</v>
      </c>
      <c r="I908" t="s">
        <v>49</v>
      </c>
      <c r="J908" t="s">
        <v>41</v>
      </c>
    </row>
    <row r="909" spans="1:10" x14ac:dyDescent="0.35">
      <c r="A909" t="s">
        <v>3090</v>
      </c>
      <c r="B909" t="s">
        <v>461</v>
      </c>
      <c r="C909" t="s">
        <v>22</v>
      </c>
      <c r="D909" t="s">
        <v>13</v>
      </c>
      <c r="E909" t="s">
        <v>45</v>
      </c>
      <c r="F909" t="s">
        <v>25</v>
      </c>
      <c r="G909" t="s">
        <v>3091</v>
      </c>
      <c r="H909" t="s">
        <v>3092</v>
      </c>
      <c r="I909" t="s">
        <v>49</v>
      </c>
      <c r="J909" t="s">
        <v>64</v>
      </c>
    </row>
    <row r="910" spans="1:10" x14ac:dyDescent="0.35">
      <c r="A910" t="s">
        <v>3093</v>
      </c>
      <c r="B910" t="s">
        <v>221</v>
      </c>
      <c r="C910" t="s">
        <v>52</v>
      </c>
      <c r="D910" t="s">
        <v>73</v>
      </c>
      <c r="E910" t="s">
        <v>14</v>
      </c>
      <c r="F910" t="s">
        <v>46</v>
      </c>
      <c r="G910" t="s">
        <v>3094</v>
      </c>
      <c r="H910" t="s">
        <v>3095</v>
      </c>
      <c r="I910" t="s">
        <v>18</v>
      </c>
      <c r="J910" t="s">
        <v>33</v>
      </c>
    </row>
    <row r="911" spans="1:10" x14ac:dyDescent="0.35">
      <c r="A911" t="s">
        <v>3096</v>
      </c>
      <c r="B911" t="s">
        <v>2421</v>
      </c>
      <c r="C911" t="s">
        <v>108</v>
      </c>
      <c r="D911" t="s">
        <v>13</v>
      </c>
      <c r="E911" t="s">
        <v>134</v>
      </c>
      <c r="F911" t="s">
        <v>15</v>
      </c>
      <c r="G911" t="s">
        <v>3097</v>
      </c>
      <c r="H911" t="s">
        <v>3098</v>
      </c>
      <c r="I911" t="s">
        <v>32</v>
      </c>
      <c r="J911" t="s">
        <v>19</v>
      </c>
    </row>
    <row r="912" spans="1:10" x14ac:dyDescent="0.35">
      <c r="A912" t="s">
        <v>3099</v>
      </c>
      <c r="B912" t="s">
        <v>857</v>
      </c>
      <c r="C912" t="s">
        <v>52</v>
      </c>
      <c r="D912" t="s">
        <v>36</v>
      </c>
      <c r="E912" t="s">
        <v>14</v>
      </c>
      <c r="F912" t="s">
        <v>74</v>
      </c>
      <c r="G912" t="s">
        <v>3100</v>
      </c>
      <c r="H912" t="s">
        <v>3101</v>
      </c>
      <c r="I912" t="s">
        <v>18</v>
      </c>
      <c r="J912" t="s">
        <v>41</v>
      </c>
    </row>
    <row r="913" spans="1:10" x14ac:dyDescent="0.35">
      <c r="A913" t="s">
        <v>3102</v>
      </c>
      <c r="B913" t="s">
        <v>3103</v>
      </c>
      <c r="C913" t="s">
        <v>12</v>
      </c>
      <c r="D913" t="s">
        <v>13</v>
      </c>
      <c r="E913" t="s">
        <v>14</v>
      </c>
      <c r="F913" t="s">
        <v>46</v>
      </c>
      <c r="G913" t="s">
        <v>3104</v>
      </c>
      <c r="H913" t="s">
        <v>3105</v>
      </c>
      <c r="I913" t="s">
        <v>32</v>
      </c>
      <c r="J913" t="s">
        <v>64</v>
      </c>
    </row>
    <row r="914" spans="1:10" x14ac:dyDescent="0.35">
      <c r="A914" t="s">
        <v>3106</v>
      </c>
      <c r="B914" t="s">
        <v>2361</v>
      </c>
      <c r="C914" t="s">
        <v>72</v>
      </c>
      <c r="D914" t="s">
        <v>73</v>
      </c>
      <c r="E914" t="s">
        <v>134</v>
      </c>
      <c r="F914" t="s">
        <v>38</v>
      </c>
      <c r="G914" t="s">
        <v>3107</v>
      </c>
      <c r="H914" t="s">
        <v>3108</v>
      </c>
      <c r="I914" t="s">
        <v>49</v>
      </c>
      <c r="J914" t="s">
        <v>19</v>
      </c>
    </row>
    <row r="915" spans="1:10" x14ac:dyDescent="0.35">
      <c r="A915" t="s">
        <v>3109</v>
      </c>
      <c r="B915" t="s">
        <v>1099</v>
      </c>
      <c r="C915" t="s">
        <v>12</v>
      </c>
      <c r="D915" t="s">
        <v>23</v>
      </c>
      <c r="E915" t="s">
        <v>37</v>
      </c>
      <c r="F915" t="s">
        <v>38</v>
      </c>
      <c r="G915" t="s">
        <v>3110</v>
      </c>
      <c r="H915" t="s">
        <v>3111</v>
      </c>
      <c r="I915" t="s">
        <v>18</v>
      </c>
      <c r="J915" t="s">
        <v>41</v>
      </c>
    </row>
    <row r="916" spans="1:10" x14ac:dyDescent="0.35">
      <c r="A916" t="s">
        <v>3112</v>
      </c>
      <c r="B916" t="s">
        <v>1554</v>
      </c>
      <c r="C916" t="s">
        <v>52</v>
      </c>
      <c r="D916" t="s">
        <v>13</v>
      </c>
      <c r="E916" t="s">
        <v>45</v>
      </c>
      <c r="F916" t="s">
        <v>38</v>
      </c>
      <c r="G916" t="s">
        <v>3113</v>
      </c>
      <c r="H916" t="s">
        <v>3114</v>
      </c>
      <c r="I916" t="s">
        <v>32</v>
      </c>
      <c r="J916" t="s">
        <v>64</v>
      </c>
    </row>
    <row r="917" spans="1:10" x14ac:dyDescent="0.35">
      <c r="A917" t="s">
        <v>3115</v>
      </c>
      <c r="B917" t="s">
        <v>1735</v>
      </c>
      <c r="C917" t="s">
        <v>52</v>
      </c>
      <c r="D917" t="s">
        <v>13</v>
      </c>
      <c r="E917" t="s">
        <v>134</v>
      </c>
      <c r="F917" t="s">
        <v>74</v>
      </c>
      <c r="G917" t="s">
        <v>3116</v>
      </c>
      <c r="H917" t="s">
        <v>3117</v>
      </c>
      <c r="I917" t="s">
        <v>18</v>
      </c>
      <c r="J917" t="s">
        <v>19</v>
      </c>
    </row>
    <row r="918" spans="1:10" x14ac:dyDescent="0.35">
      <c r="A918" t="s">
        <v>3118</v>
      </c>
      <c r="B918" t="s">
        <v>1307</v>
      </c>
      <c r="C918" t="s">
        <v>22</v>
      </c>
      <c r="D918" t="s">
        <v>44</v>
      </c>
      <c r="E918" t="s">
        <v>45</v>
      </c>
      <c r="F918" t="s">
        <v>15</v>
      </c>
      <c r="G918" t="s">
        <v>3119</v>
      </c>
      <c r="H918" t="s">
        <v>3120</v>
      </c>
      <c r="I918" t="s">
        <v>18</v>
      </c>
      <c r="J918" t="s">
        <v>64</v>
      </c>
    </row>
    <row r="919" spans="1:10" x14ac:dyDescent="0.35">
      <c r="A919" t="s">
        <v>3121</v>
      </c>
      <c r="B919" t="s">
        <v>523</v>
      </c>
      <c r="C919" t="s">
        <v>67</v>
      </c>
      <c r="D919" t="s">
        <v>13</v>
      </c>
      <c r="E919" t="s">
        <v>109</v>
      </c>
      <c r="F919" t="s">
        <v>79</v>
      </c>
      <c r="G919" t="s">
        <v>3122</v>
      </c>
      <c r="H919" t="s">
        <v>3123</v>
      </c>
      <c r="I919" t="s">
        <v>18</v>
      </c>
      <c r="J919" t="s">
        <v>64</v>
      </c>
    </row>
    <row r="920" spans="1:10" x14ac:dyDescent="0.35">
      <c r="A920" t="s">
        <v>3124</v>
      </c>
      <c r="B920" t="s">
        <v>178</v>
      </c>
      <c r="C920" t="s">
        <v>52</v>
      </c>
      <c r="D920" t="s">
        <v>23</v>
      </c>
      <c r="E920" t="s">
        <v>37</v>
      </c>
      <c r="F920" t="s">
        <v>74</v>
      </c>
      <c r="G920" t="s">
        <v>3125</v>
      </c>
      <c r="H920" t="s">
        <v>3126</v>
      </c>
      <c r="I920" t="s">
        <v>18</v>
      </c>
      <c r="J920" t="s">
        <v>64</v>
      </c>
    </row>
    <row r="921" spans="1:10" x14ac:dyDescent="0.35">
      <c r="A921" t="s">
        <v>3127</v>
      </c>
      <c r="B921" t="s">
        <v>57</v>
      </c>
      <c r="C921" t="s">
        <v>12</v>
      </c>
      <c r="D921" t="s">
        <v>44</v>
      </c>
      <c r="E921" t="s">
        <v>24</v>
      </c>
      <c r="F921" t="s">
        <v>15</v>
      </c>
      <c r="G921" t="s">
        <v>3128</v>
      </c>
      <c r="H921" t="s">
        <v>3129</v>
      </c>
      <c r="I921" t="s">
        <v>49</v>
      </c>
      <c r="J921" t="s">
        <v>19</v>
      </c>
    </row>
    <row r="922" spans="1:10" x14ac:dyDescent="0.35">
      <c r="A922" t="s">
        <v>3130</v>
      </c>
      <c r="B922" t="s">
        <v>438</v>
      </c>
      <c r="C922" t="s">
        <v>99</v>
      </c>
      <c r="D922" t="s">
        <v>23</v>
      </c>
      <c r="E922" t="s">
        <v>37</v>
      </c>
      <c r="F922" t="s">
        <v>46</v>
      </c>
      <c r="G922" t="s">
        <v>3131</v>
      </c>
      <c r="H922" t="s">
        <v>3132</v>
      </c>
      <c r="I922" t="s">
        <v>32</v>
      </c>
      <c r="J922" t="s">
        <v>41</v>
      </c>
    </row>
    <row r="923" spans="1:10" x14ac:dyDescent="0.35">
      <c r="A923" t="s">
        <v>3133</v>
      </c>
      <c r="B923" t="s">
        <v>1152</v>
      </c>
      <c r="C923" t="s">
        <v>22</v>
      </c>
      <c r="D923" t="s">
        <v>44</v>
      </c>
      <c r="E923" t="s">
        <v>134</v>
      </c>
      <c r="F923" t="s">
        <v>46</v>
      </c>
      <c r="G923" t="s">
        <v>3134</v>
      </c>
      <c r="H923" t="s">
        <v>3135</v>
      </c>
      <c r="I923" t="s">
        <v>18</v>
      </c>
      <c r="J923" t="s">
        <v>41</v>
      </c>
    </row>
    <row r="924" spans="1:10" x14ac:dyDescent="0.35">
      <c r="A924" t="s">
        <v>3136</v>
      </c>
      <c r="B924" t="s">
        <v>209</v>
      </c>
      <c r="C924" t="s">
        <v>52</v>
      </c>
      <c r="D924" t="s">
        <v>13</v>
      </c>
      <c r="E924" t="s">
        <v>37</v>
      </c>
      <c r="F924" t="s">
        <v>38</v>
      </c>
      <c r="G924" t="s">
        <v>3137</v>
      </c>
      <c r="H924" t="s">
        <v>3138</v>
      </c>
      <c r="I924" t="s">
        <v>32</v>
      </c>
      <c r="J924" t="s">
        <v>41</v>
      </c>
    </row>
    <row r="925" spans="1:10" x14ac:dyDescent="0.35">
      <c r="A925" t="s">
        <v>3139</v>
      </c>
      <c r="B925" t="s">
        <v>621</v>
      </c>
      <c r="C925" t="s">
        <v>99</v>
      </c>
      <c r="D925" t="s">
        <v>73</v>
      </c>
      <c r="E925" t="s">
        <v>134</v>
      </c>
      <c r="F925" t="s">
        <v>46</v>
      </c>
      <c r="G925" t="s">
        <v>3140</v>
      </c>
      <c r="H925" t="s">
        <v>3141</v>
      </c>
      <c r="I925" t="s">
        <v>18</v>
      </c>
      <c r="J925" t="s">
        <v>64</v>
      </c>
    </row>
    <row r="926" spans="1:10" x14ac:dyDescent="0.35">
      <c r="A926" t="s">
        <v>3142</v>
      </c>
      <c r="B926" t="s">
        <v>3143</v>
      </c>
      <c r="C926" t="s">
        <v>12</v>
      </c>
      <c r="D926" t="s">
        <v>13</v>
      </c>
      <c r="E926" t="s">
        <v>37</v>
      </c>
      <c r="F926" t="s">
        <v>25</v>
      </c>
      <c r="G926" t="s">
        <v>3144</v>
      </c>
      <c r="H926" t="s">
        <v>3145</v>
      </c>
      <c r="I926" t="s">
        <v>18</v>
      </c>
      <c r="J926" t="s">
        <v>41</v>
      </c>
    </row>
    <row r="927" spans="1:10" x14ac:dyDescent="0.35">
      <c r="A927" t="s">
        <v>3146</v>
      </c>
      <c r="B927" t="s">
        <v>178</v>
      </c>
      <c r="C927" t="s">
        <v>67</v>
      </c>
      <c r="D927" t="s">
        <v>73</v>
      </c>
      <c r="E927" t="s">
        <v>14</v>
      </c>
      <c r="F927" t="s">
        <v>38</v>
      </c>
      <c r="G927" t="s">
        <v>3147</v>
      </c>
      <c r="H927" t="s">
        <v>3148</v>
      </c>
      <c r="I927" t="s">
        <v>18</v>
      </c>
      <c r="J927" t="s">
        <v>19</v>
      </c>
    </row>
    <row r="928" spans="1:10" x14ac:dyDescent="0.35">
      <c r="A928" t="s">
        <v>3149</v>
      </c>
      <c r="B928" t="s">
        <v>817</v>
      </c>
      <c r="C928" t="s">
        <v>12</v>
      </c>
      <c r="D928" t="s">
        <v>23</v>
      </c>
      <c r="E928" t="s">
        <v>37</v>
      </c>
      <c r="F928" t="s">
        <v>79</v>
      </c>
      <c r="G928" t="s">
        <v>3150</v>
      </c>
      <c r="H928" t="s">
        <v>3151</v>
      </c>
      <c r="I928" t="s">
        <v>49</v>
      </c>
      <c r="J928" t="s">
        <v>64</v>
      </c>
    </row>
    <row r="929" spans="1:10" x14ac:dyDescent="0.35">
      <c r="A929" t="s">
        <v>3152</v>
      </c>
      <c r="B929" t="s">
        <v>309</v>
      </c>
      <c r="C929" t="s">
        <v>72</v>
      </c>
      <c r="D929" t="s">
        <v>73</v>
      </c>
      <c r="E929" t="s">
        <v>109</v>
      </c>
      <c r="F929" t="s">
        <v>15</v>
      </c>
      <c r="G929" t="s">
        <v>3153</v>
      </c>
      <c r="H929" t="s">
        <v>3154</v>
      </c>
      <c r="I929" t="s">
        <v>18</v>
      </c>
      <c r="J929" t="s">
        <v>33</v>
      </c>
    </row>
    <row r="930" spans="1:10" x14ac:dyDescent="0.35">
      <c r="A930" t="s">
        <v>3155</v>
      </c>
      <c r="B930" t="s">
        <v>617</v>
      </c>
      <c r="C930" t="s">
        <v>22</v>
      </c>
      <c r="D930" t="s">
        <v>53</v>
      </c>
      <c r="E930" t="s">
        <v>24</v>
      </c>
      <c r="F930" t="s">
        <v>46</v>
      </c>
      <c r="G930" t="s">
        <v>3156</v>
      </c>
      <c r="H930" t="s">
        <v>3157</v>
      </c>
      <c r="I930" t="s">
        <v>32</v>
      </c>
      <c r="J930" t="s">
        <v>64</v>
      </c>
    </row>
    <row r="931" spans="1:10" x14ac:dyDescent="0.35">
      <c r="A931" t="s">
        <v>3158</v>
      </c>
      <c r="B931" t="s">
        <v>201</v>
      </c>
      <c r="C931" t="s">
        <v>72</v>
      </c>
      <c r="D931" t="s">
        <v>53</v>
      </c>
      <c r="E931" t="s">
        <v>37</v>
      </c>
      <c r="F931" t="s">
        <v>46</v>
      </c>
      <c r="G931" t="s">
        <v>3159</v>
      </c>
      <c r="H931" t="s">
        <v>3160</v>
      </c>
      <c r="I931" t="s">
        <v>32</v>
      </c>
      <c r="J931" t="s">
        <v>64</v>
      </c>
    </row>
    <row r="932" spans="1:10" x14ac:dyDescent="0.35">
      <c r="A932" t="s">
        <v>3161</v>
      </c>
      <c r="B932" t="s">
        <v>3162</v>
      </c>
      <c r="C932" t="s">
        <v>12</v>
      </c>
      <c r="D932" t="s">
        <v>36</v>
      </c>
      <c r="E932" t="s">
        <v>134</v>
      </c>
      <c r="F932" t="s">
        <v>38</v>
      </c>
      <c r="G932" t="s">
        <v>3163</v>
      </c>
      <c r="H932" t="s">
        <v>3164</v>
      </c>
      <c r="I932" t="s">
        <v>32</v>
      </c>
      <c r="J932" t="s">
        <v>33</v>
      </c>
    </row>
    <row r="933" spans="1:10" x14ac:dyDescent="0.35">
      <c r="A933" t="s">
        <v>3165</v>
      </c>
      <c r="B933" t="s">
        <v>2246</v>
      </c>
      <c r="C933" t="s">
        <v>67</v>
      </c>
      <c r="D933" t="s">
        <v>36</v>
      </c>
      <c r="E933" t="s">
        <v>37</v>
      </c>
      <c r="F933" t="s">
        <v>79</v>
      </c>
      <c r="G933" t="s">
        <v>3166</v>
      </c>
      <c r="H933" t="s">
        <v>3167</v>
      </c>
      <c r="I933" t="s">
        <v>32</v>
      </c>
      <c r="J933" t="s">
        <v>19</v>
      </c>
    </row>
    <row r="934" spans="1:10" x14ac:dyDescent="0.35">
      <c r="A934" t="s">
        <v>3168</v>
      </c>
      <c r="B934" t="s">
        <v>575</v>
      </c>
      <c r="C934" t="s">
        <v>22</v>
      </c>
      <c r="D934" t="s">
        <v>23</v>
      </c>
      <c r="E934" t="s">
        <v>45</v>
      </c>
      <c r="F934" t="s">
        <v>74</v>
      </c>
      <c r="G934" t="s">
        <v>3169</v>
      </c>
      <c r="H934" t="s">
        <v>3170</v>
      </c>
      <c r="I934" t="s">
        <v>32</v>
      </c>
      <c r="J934" t="s">
        <v>19</v>
      </c>
    </row>
    <row r="935" spans="1:10" x14ac:dyDescent="0.35">
      <c r="A935" t="s">
        <v>3171</v>
      </c>
      <c r="B935" t="s">
        <v>531</v>
      </c>
      <c r="C935" t="s">
        <v>12</v>
      </c>
      <c r="D935" t="s">
        <v>44</v>
      </c>
      <c r="E935" t="s">
        <v>45</v>
      </c>
      <c r="F935" t="s">
        <v>79</v>
      </c>
      <c r="G935" t="s">
        <v>3172</v>
      </c>
      <c r="H935" t="s">
        <v>3173</v>
      </c>
      <c r="I935" t="s">
        <v>32</v>
      </c>
      <c r="J935" t="s">
        <v>41</v>
      </c>
    </row>
    <row r="936" spans="1:10" x14ac:dyDescent="0.35">
      <c r="A936" t="s">
        <v>3174</v>
      </c>
      <c r="B936" t="s">
        <v>190</v>
      </c>
      <c r="C936" t="s">
        <v>22</v>
      </c>
      <c r="D936" t="s">
        <v>53</v>
      </c>
      <c r="E936" t="s">
        <v>14</v>
      </c>
      <c r="F936" t="s">
        <v>74</v>
      </c>
      <c r="G936" t="s">
        <v>3175</v>
      </c>
      <c r="H936" t="s">
        <v>3176</v>
      </c>
      <c r="I936" t="s">
        <v>18</v>
      </c>
      <c r="J936" t="s">
        <v>41</v>
      </c>
    </row>
    <row r="937" spans="1:10" x14ac:dyDescent="0.35">
      <c r="A937" t="s">
        <v>3177</v>
      </c>
      <c r="B937" t="s">
        <v>454</v>
      </c>
      <c r="C937" t="s">
        <v>72</v>
      </c>
      <c r="D937" t="s">
        <v>44</v>
      </c>
      <c r="E937" t="s">
        <v>14</v>
      </c>
      <c r="F937" t="s">
        <v>25</v>
      </c>
      <c r="G937" t="s">
        <v>3178</v>
      </c>
      <c r="H937" t="s">
        <v>3179</v>
      </c>
      <c r="I937" t="s">
        <v>32</v>
      </c>
      <c r="J937" t="s">
        <v>19</v>
      </c>
    </row>
    <row r="938" spans="1:10" x14ac:dyDescent="0.35">
      <c r="A938" t="s">
        <v>3180</v>
      </c>
      <c r="B938" t="s">
        <v>98</v>
      </c>
      <c r="C938" t="s">
        <v>108</v>
      </c>
      <c r="D938" t="s">
        <v>53</v>
      </c>
      <c r="E938" t="s">
        <v>37</v>
      </c>
      <c r="F938" t="s">
        <v>79</v>
      </c>
      <c r="G938" t="s">
        <v>3181</v>
      </c>
      <c r="H938" t="s">
        <v>3182</v>
      </c>
      <c r="I938" t="s">
        <v>49</v>
      </c>
      <c r="J938" t="s">
        <v>41</v>
      </c>
    </row>
    <row r="939" spans="1:10" x14ac:dyDescent="0.35">
      <c r="A939" t="s">
        <v>3183</v>
      </c>
      <c r="B939" t="s">
        <v>706</v>
      </c>
      <c r="C939" t="s">
        <v>67</v>
      </c>
      <c r="D939" t="s">
        <v>36</v>
      </c>
      <c r="E939" t="s">
        <v>134</v>
      </c>
      <c r="F939" t="s">
        <v>38</v>
      </c>
      <c r="G939" t="s">
        <v>3184</v>
      </c>
      <c r="H939" t="s">
        <v>3185</v>
      </c>
      <c r="I939" t="s">
        <v>32</v>
      </c>
      <c r="J939" t="s">
        <v>41</v>
      </c>
    </row>
    <row r="940" spans="1:10" x14ac:dyDescent="0.35">
      <c r="A940" t="s">
        <v>3186</v>
      </c>
      <c r="B940" t="s">
        <v>489</v>
      </c>
      <c r="C940" t="s">
        <v>67</v>
      </c>
      <c r="D940" t="s">
        <v>23</v>
      </c>
      <c r="E940" t="s">
        <v>14</v>
      </c>
      <c r="F940" t="s">
        <v>79</v>
      </c>
      <c r="G940" t="s">
        <v>3187</v>
      </c>
      <c r="H940" t="s">
        <v>3188</v>
      </c>
      <c r="I940" t="s">
        <v>32</v>
      </c>
      <c r="J940" t="s">
        <v>64</v>
      </c>
    </row>
    <row r="941" spans="1:10" x14ac:dyDescent="0.35">
      <c r="A941" t="s">
        <v>3189</v>
      </c>
      <c r="B941" t="s">
        <v>21</v>
      </c>
      <c r="C941" t="s">
        <v>67</v>
      </c>
      <c r="D941" t="s">
        <v>44</v>
      </c>
      <c r="E941" t="s">
        <v>109</v>
      </c>
      <c r="F941" t="s">
        <v>25</v>
      </c>
      <c r="G941" t="s">
        <v>3190</v>
      </c>
      <c r="H941" t="s">
        <v>3191</v>
      </c>
      <c r="I941" t="s">
        <v>32</v>
      </c>
      <c r="J941" t="s">
        <v>33</v>
      </c>
    </row>
    <row r="942" spans="1:10" x14ac:dyDescent="0.35">
      <c r="A942" t="s">
        <v>3192</v>
      </c>
      <c r="B942" t="s">
        <v>249</v>
      </c>
      <c r="C942" t="s">
        <v>67</v>
      </c>
      <c r="D942" t="s">
        <v>53</v>
      </c>
      <c r="E942" t="s">
        <v>109</v>
      </c>
      <c r="F942" t="s">
        <v>25</v>
      </c>
      <c r="G942" t="s">
        <v>3193</v>
      </c>
      <c r="H942" t="s">
        <v>3194</v>
      </c>
      <c r="I942" t="s">
        <v>32</v>
      </c>
      <c r="J942" t="s">
        <v>41</v>
      </c>
    </row>
    <row r="943" spans="1:10" x14ac:dyDescent="0.35">
      <c r="A943" t="s">
        <v>3195</v>
      </c>
      <c r="B943" t="s">
        <v>621</v>
      </c>
      <c r="C943" t="s">
        <v>72</v>
      </c>
      <c r="D943" t="s">
        <v>13</v>
      </c>
      <c r="E943" t="s">
        <v>14</v>
      </c>
      <c r="F943" t="s">
        <v>46</v>
      </c>
      <c r="G943" t="s">
        <v>3196</v>
      </c>
      <c r="H943" t="s">
        <v>3197</v>
      </c>
      <c r="I943" t="s">
        <v>18</v>
      </c>
      <c r="J943" t="s">
        <v>41</v>
      </c>
    </row>
    <row r="944" spans="1:10" x14ac:dyDescent="0.35">
      <c r="A944" t="s">
        <v>3198</v>
      </c>
      <c r="B944" t="s">
        <v>3162</v>
      </c>
      <c r="C944" t="s">
        <v>22</v>
      </c>
      <c r="D944" t="s">
        <v>44</v>
      </c>
      <c r="E944" t="s">
        <v>134</v>
      </c>
      <c r="F944" t="s">
        <v>46</v>
      </c>
      <c r="G944" t="s">
        <v>3199</v>
      </c>
      <c r="H944" t="s">
        <v>3200</v>
      </c>
      <c r="I944" t="s">
        <v>32</v>
      </c>
      <c r="J944" t="s">
        <v>19</v>
      </c>
    </row>
    <row r="945" spans="1:10" x14ac:dyDescent="0.35">
      <c r="A945" t="s">
        <v>3201</v>
      </c>
      <c r="B945" t="s">
        <v>2590</v>
      </c>
      <c r="C945" t="s">
        <v>52</v>
      </c>
      <c r="D945" t="s">
        <v>13</v>
      </c>
      <c r="E945" t="s">
        <v>109</v>
      </c>
      <c r="F945" t="s">
        <v>79</v>
      </c>
      <c r="G945" t="s">
        <v>3202</v>
      </c>
      <c r="H945" t="s">
        <v>3203</v>
      </c>
      <c r="I945" t="s">
        <v>18</v>
      </c>
      <c r="J945" t="s">
        <v>19</v>
      </c>
    </row>
    <row r="946" spans="1:10" x14ac:dyDescent="0.35">
      <c r="A946" t="s">
        <v>3204</v>
      </c>
      <c r="B946" t="s">
        <v>3205</v>
      </c>
      <c r="C946" t="s">
        <v>52</v>
      </c>
      <c r="D946" t="s">
        <v>44</v>
      </c>
      <c r="E946" t="s">
        <v>14</v>
      </c>
      <c r="F946" t="s">
        <v>79</v>
      </c>
      <c r="G946" t="s">
        <v>3206</v>
      </c>
      <c r="H946" t="s">
        <v>3207</v>
      </c>
      <c r="I946" t="s">
        <v>18</v>
      </c>
      <c r="J946" t="s">
        <v>41</v>
      </c>
    </row>
    <row r="947" spans="1:10" x14ac:dyDescent="0.35">
      <c r="A947" t="s">
        <v>3208</v>
      </c>
      <c r="B947" t="s">
        <v>3209</v>
      </c>
      <c r="C947" t="s">
        <v>67</v>
      </c>
      <c r="D947" t="s">
        <v>13</v>
      </c>
      <c r="E947" t="s">
        <v>45</v>
      </c>
      <c r="F947" t="s">
        <v>25</v>
      </c>
      <c r="G947" t="s">
        <v>3210</v>
      </c>
      <c r="H947" t="s">
        <v>3211</v>
      </c>
      <c r="I947" t="s">
        <v>49</v>
      </c>
      <c r="J947" t="s">
        <v>19</v>
      </c>
    </row>
    <row r="948" spans="1:10" x14ac:dyDescent="0.35">
      <c r="A948" t="s">
        <v>3212</v>
      </c>
      <c r="B948" t="s">
        <v>249</v>
      </c>
      <c r="C948" t="s">
        <v>52</v>
      </c>
      <c r="D948" t="s">
        <v>13</v>
      </c>
      <c r="E948" t="s">
        <v>14</v>
      </c>
      <c r="F948" t="s">
        <v>74</v>
      </c>
      <c r="G948" t="s">
        <v>3213</v>
      </c>
      <c r="H948" t="s">
        <v>3214</v>
      </c>
      <c r="I948" t="s">
        <v>18</v>
      </c>
      <c r="J948" t="s">
        <v>64</v>
      </c>
    </row>
    <row r="949" spans="1:10" x14ac:dyDescent="0.35">
      <c r="A949" t="s">
        <v>3215</v>
      </c>
      <c r="B949" t="s">
        <v>2166</v>
      </c>
      <c r="C949" t="s">
        <v>108</v>
      </c>
      <c r="D949" t="s">
        <v>13</v>
      </c>
      <c r="E949" t="s">
        <v>37</v>
      </c>
      <c r="F949" t="s">
        <v>74</v>
      </c>
      <c r="G949" t="s">
        <v>3216</v>
      </c>
      <c r="H949" t="s">
        <v>3217</v>
      </c>
      <c r="I949" t="s">
        <v>32</v>
      </c>
      <c r="J949" t="s">
        <v>19</v>
      </c>
    </row>
    <row r="950" spans="1:10" x14ac:dyDescent="0.35">
      <c r="A950" t="s">
        <v>3218</v>
      </c>
      <c r="B950" t="s">
        <v>3219</v>
      </c>
      <c r="C950" t="s">
        <v>67</v>
      </c>
      <c r="D950" t="s">
        <v>44</v>
      </c>
      <c r="E950" t="s">
        <v>24</v>
      </c>
      <c r="F950" t="s">
        <v>25</v>
      </c>
      <c r="G950" t="s">
        <v>3220</v>
      </c>
      <c r="H950" t="s">
        <v>3221</v>
      </c>
      <c r="I950" t="s">
        <v>49</v>
      </c>
      <c r="J950" t="s">
        <v>33</v>
      </c>
    </row>
    <row r="951" spans="1:10" x14ac:dyDescent="0.35">
      <c r="A951" t="s">
        <v>3222</v>
      </c>
      <c r="B951" t="s">
        <v>857</v>
      </c>
      <c r="C951" t="s">
        <v>22</v>
      </c>
      <c r="D951" t="s">
        <v>53</v>
      </c>
      <c r="E951" t="s">
        <v>109</v>
      </c>
      <c r="F951" t="s">
        <v>38</v>
      </c>
      <c r="G951" t="s">
        <v>3223</v>
      </c>
      <c r="H951" t="s">
        <v>3224</v>
      </c>
      <c r="I951" t="s">
        <v>18</v>
      </c>
      <c r="J951" t="s">
        <v>64</v>
      </c>
    </row>
    <row r="952" spans="1:10" x14ac:dyDescent="0.35">
      <c r="A952" t="s">
        <v>3225</v>
      </c>
      <c r="B952" t="s">
        <v>245</v>
      </c>
      <c r="C952" t="s">
        <v>108</v>
      </c>
      <c r="D952" t="s">
        <v>13</v>
      </c>
      <c r="E952" t="s">
        <v>37</v>
      </c>
      <c r="F952" t="s">
        <v>46</v>
      </c>
      <c r="G952" t="s">
        <v>3226</v>
      </c>
      <c r="H952" t="s">
        <v>3227</v>
      </c>
      <c r="I952" t="s">
        <v>49</v>
      </c>
      <c r="J952" t="s">
        <v>33</v>
      </c>
    </row>
    <row r="953" spans="1:10" x14ac:dyDescent="0.35">
      <c r="A953" t="s">
        <v>3228</v>
      </c>
      <c r="B953" t="s">
        <v>2333</v>
      </c>
      <c r="C953" t="s">
        <v>67</v>
      </c>
      <c r="D953" t="s">
        <v>36</v>
      </c>
      <c r="E953" t="s">
        <v>134</v>
      </c>
      <c r="F953" t="s">
        <v>74</v>
      </c>
      <c r="G953" t="s">
        <v>3229</v>
      </c>
      <c r="H953" t="s">
        <v>3230</v>
      </c>
      <c r="I953" t="s">
        <v>18</v>
      </c>
      <c r="J953" t="s">
        <v>64</v>
      </c>
    </row>
    <row r="954" spans="1:10" x14ac:dyDescent="0.35">
      <c r="A954" t="s">
        <v>3231</v>
      </c>
      <c r="B954" t="s">
        <v>3232</v>
      </c>
      <c r="C954" t="s">
        <v>52</v>
      </c>
      <c r="D954" t="s">
        <v>13</v>
      </c>
      <c r="E954" t="s">
        <v>37</v>
      </c>
      <c r="F954" t="s">
        <v>79</v>
      </c>
      <c r="G954" t="s">
        <v>3233</v>
      </c>
      <c r="H954" t="s">
        <v>3234</v>
      </c>
      <c r="I954" t="s">
        <v>18</v>
      </c>
      <c r="J954" t="s">
        <v>41</v>
      </c>
    </row>
    <row r="955" spans="1:10" x14ac:dyDescent="0.35">
      <c r="A955" t="s">
        <v>3235</v>
      </c>
      <c r="B955" t="s">
        <v>923</v>
      </c>
      <c r="C955" t="s">
        <v>72</v>
      </c>
      <c r="D955" t="s">
        <v>73</v>
      </c>
      <c r="E955" t="s">
        <v>14</v>
      </c>
      <c r="F955" t="s">
        <v>46</v>
      </c>
      <c r="G955" t="s">
        <v>3236</v>
      </c>
      <c r="H955" t="s">
        <v>3237</v>
      </c>
      <c r="I955" t="s">
        <v>18</v>
      </c>
      <c r="J955" t="s">
        <v>41</v>
      </c>
    </row>
    <row r="956" spans="1:10" x14ac:dyDescent="0.35">
      <c r="A956" t="s">
        <v>3238</v>
      </c>
      <c r="B956" t="s">
        <v>398</v>
      </c>
      <c r="C956" t="s">
        <v>108</v>
      </c>
      <c r="D956" t="s">
        <v>44</v>
      </c>
      <c r="E956" t="s">
        <v>109</v>
      </c>
      <c r="F956" t="s">
        <v>25</v>
      </c>
      <c r="G956" t="s">
        <v>3239</v>
      </c>
      <c r="H956" t="s">
        <v>3240</v>
      </c>
      <c r="I956" t="s">
        <v>49</v>
      </c>
      <c r="J956" t="s">
        <v>33</v>
      </c>
    </row>
    <row r="957" spans="1:10" x14ac:dyDescent="0.35">
      <c r="A957" t="s">
        <v>3241</v>
      </c>
      <c r="B957" t="s">
        <v>1788</v>
      </c>
      <c r="C957" t="s">
        <v>67</v>
      </c>
      <c r="D957" t="s">
        <v>13</v>
      </c>
      <c r="E957" t="s">
        <v>37</v>
      </c>
      <c r="F957" t="s">
        <v>74</v>
      </c>
      <c r="G957" t="s">
        <v>3242</v>
      </c>
      <c r="H957" t="s">
        <v>3243</v>
      </c>
      <c r="I957" t="s">
        <v>32</v>
      </c>
      <c r="J957" t="s">
        <v>64</v>
      </c>
    </row>
    <row r="958" spans="1:10" x14ac:dyDescent="0.35">
      <c r="A958" t="s">
        <v>3244</v>
      </c>
      <c r="B958" t="s">
        <v>78</v>
      </c>
      <c r="C958" t="s">
        <v>72</v>
      </c>
      <c r="D958" t="s">
        <v>73</v>
      </c>
      <c r="E958" t="s">
        <v>14</v>
      </c>
      <c r="F958" t="s">
        <v>38</v>
      </c>
      <c r="G958" t="s">
        <v>3245</v>
      </c>
      <c r="H958" t="s">
        <v>3246</v>
      </c>
      <c r="I958" t="s">
        <v>49</v>
      </c>
      <c r="J958" t="s">
        <v>41</v>
      </c>
    </row>
    <row r="959" spans="1:10" x14ac:dyDescent="0.35">
      <c r="A959" t="s">
        <v>3247</v>
      </c>
      <c r="B959" t="s">
        <v>347</v>
      </c>
      <c r="C959" t="s">
        <v>108</v>
      </c>
      <c r="D959" t="s">
        <v>13</v>
      </c>
      <c r="E959" t="s">
        <v>134</v>
      </c>
      <c r="F959" t="s">
        <v>15</v>
      </c>
      <c r="G959" t="s">
        <v>3248</v>
      </c>
      <c r="H959" t="s">
        <v>3249</v>
      </c>
      <c r="I959" t="s">
        <v>32</v>
      </c>
      <c r="J959" t="s">
        <v>33</v>
      </c>
    </row>
    <row r="960" spans="1:10" x14ac:dyDescent="0.35">
      <c r="A960" t="s">
        <v>3250</v>
      </c>
      <c r="B960" t="s">
        <v>579</v>
      </c>
      <c r="C960" t="s">
        <v>99</v>
      </c>
      <c r="D960" t="s">
        <v>36</v>
      </c>
      <c r="E960" t="s">
        <v>109</v>
      </c>
      <c r="F960" t="s">
        <v>79</v>
      </c>
      <c r="G960" t="s">
        <v>3251</v>
      </c>
      <c r="H960" t="s">
        <v>3252</v>
      </c>
      <c r="I960" t="s">
        <v>18</v>
      </c>
      <c r="J960" t="s">
        <v>64</v>
      </c>
    </row>
    <row r="961" spans="1:10" x14ac:dyDescent="0.35">
      <c r="A961" t="s">
        <v>3253</v>
      </c>
      <c r="B961" t="s">
        <v>1130</v>
      </c>
      <c r="C961" t="s">
        <v>22</v>
      </c>
      <c r="D961" t="s">
        <v>53</v>
      </c>
      <c r="E961" t="s">
        <v>24</v>
      </c>
      <c r="F961" t="s">
        <v>25</v>
      </c>
      <c r="G961" t="s">
        <v>3254</v>
      </c>
      <c r="H961" t="s">
        <v>3255</v>
      </c>
      <c r="I961" t="s">
        <v>18</v>
      </c>
      <c r="J961" t="s">
        <v>41</v>
      </c>
    </row>
    <row r="962" spans="1:10" x14ac:dyDescent="0.35">
      <c r="A962" t="s">
        <v>3256</v>
      </c>
      <c r="B962" t="s">
        <v>237</v>
      </c>
      <c r="C962" t="s">
        <v>99</v>
      </c>
      <c r="D962" t="s">
        <v>73</v>
      </c>
      <c r="E962" t="s">
        <v>45</v>
      </c>
      <c r="F962" t="s">
        <v>38</v>
      </c>
      <c r="G962" t="s">
        <v>3257</v>
      </c>
      <c r="H962" t="s">
        <v>3258</v>
      </c>
      <c r="I962" t="s">
        <v>49</v>
      </c>
      <c r="J962" t="s">
        <v>41</v>
      </c>
    </row>
    <row r="963" spans="1:10" x14ac:dyDescent="0.35">
      <c r="A963" t="s">
        <v>3259</v>
      </c>
      <c r="B963" t="s">
        <v>1126</v>
      </c>
      <c r="C963" t="s">
        <v>72</v>
      </c>
      <c r="D963" t="s">
        <v>44</v>
      </c>
      <c r="E963" t="s">
        <v>109</v>
      </c>
      <c r="F963" t="s">
        <v>74</v>
      </c>
      <c r="G963" t="s">
        <v>3260</v>
      </c>
      <c r="H963" t="s">
        <v>3261</v>
      </c>
      <c r="I963" t="s">
        <v>18</v>
      </c>
      <c r="J963" t="s">
        <v>41</v>
      </c>
    </row>
    <row r="964" spans="1:10" x14ac:dyDescent="0.35">
      <c r="A964" t="s">
        <v>3262</v>
      </c>
      <c r="B964" t="s">
        <v>343</v>
      </c>
      <c r="C964" t="s">
        <v>99</v>
      </c>
      <c r="D964" t="s">
        <v>53</v>
      </c>
      <c r="E964" t="s">
        <v>37</v>
      </c>
      <c r="F964" t="s">
        <v>38</v>
      </c>
      <c r="G964" t="s">
        <v>3263</v>
      </c>
      <c r="H964" t="s">
        <v>3264</v>
      </c>
      <c r="I964" t="s">
        <v>18</v>
      </c>
      <c r="J964" t="s">
        <v>33</v>
      </c>
    </row>
    <row r="965" spans="1:10" x14ac:dyDescent="0.35">
      <c r="A965" t="s">
        <v>3265</v>
      </c>
      <c r="B965" t="s">
        <v>867</v>
      </c>
      <c r="C965" t="s">
        <v>12</v>
      </c>
      <c r="D965" t="s">
        <v>23</v>
      </c>
      <c r="E965" t="s">
        <v>134</v>
      </c>
      <c r="F965" t="s">
        <v>74</v>
      </c>
      <c r="G965" t="s">
        <v>3266</v>
      </c>
      <c r="H965" t="s">
        <v>3267</v>
      </c>
      <c r="I965" t="s">
        <v>18</v>
      </c>
      <c r="J965" t="s">
        <v>41</v>
      </c>
    </row>
    <row r="966" spans="1:10" x14ac:dyDescent="0.35">
      <c r="A966" t="s">
        <v>3268</v>
      </c>
      <c r="B966" t="s">
        <v>659</v>
      </c>
      <c r="C966" t="s">
        <v>52</v>
      </c>
      <c r="D966" t="s">
        <v>36</v>
      </c>
      <c r="E966" t="s">
        <v>37</v>
      </c>
      <c r="F966" t="s">
        <v>46</v>
      </c>
      <c r="G966" t="s">
        <v>3269</v>
      </c>
      <c r="H966" t="s">
        <v>3270</v>
      </c>
      <c r="I966" t="s">
        <v>32</v>
      </c>
      <c r="J966" t="s">
        <v>19</v>
      </c>
    </row>
    <row r="967" spans="1:10" x14ac:dyDescent="0.35">
      <c r="A967" t="s">
        <v>3271</v>
      </c>
      <c r="B967" t="s">
        <v>146</v>
      </c>
      <c r="C967" t="s">
        <v>99</v>
      </c>
      <c r="D967" t="s">
        <v>73</v>
      </c>
      <c r="E967" t="s">
        <v>37</v>
      </c>
      <c r="F967" t="s">
        <v>74</v>
      </c>
      <c r="G967" t="s">
        <v>3272</v>
      </c>
      <c r="H967" t="s">
        <v>3273</v>
      </c>
      <c r="I967" t="s">
        <v>32</v>
      </c>
      <c r="J967" t="s">
        <v>19</v>
      </c>
    </row>
    <row r="968" spans="1:10" x14ac:dyDescent="0.35">
      <c r="A968" t="s">
        <v>3274</v>
      </c>
      <c r="B968" t="s">
        <v>680</v>
      </c>
      <c r="C968" t="s">
        <v>22</v>
      </c>
      <c r="D968" t="s">
        <v>36</v>
      </c>
      <c r="E968" t="s">
        <v>109</v>
      </c>
      <c r="F968" t="s">
        <v>15</v>
      </c>
      <c r="G968" t="s">
        <v>3275</v>
      </c>
      <c r="H968" t="s">
        <v>3276</v>
      </c>
      <c r="I968" t="s">
        <v>49</v>
      </c>
      <c r="J968" t="s">
        <v>64</v>
      </c>
    </row>
    <row r="969" spans="1:10" x14ac:dyDescent="0.35">
      <c r="A969" t="s">
        <v>3277</v>
      </c>
      <c r="B969" t="s">
        <v>434</v>
      </c>
      <c r="C969" t="s">
        <v>12</v>
      </c>
      <c r="D969" t="s">
        <v>36</v>
      </c>
      <c r="E969" t="s">
        <v>14</v>
      </c>
      <c r="F969" t="s">
        <v>25</v>
      </c>
      <c r="G969" t="s">
        <v>3278</v>
      </c>
      <c r="H969" t="s">
        <v>3279</v>
      </c>
      <c r="I969" t="s">
        <v>49</v>
      </c>
      <c r="J969" t="s">
        <v>64</v>
      </c>
    </row>
    <row r="970" spans="1:10" x14ac:dyDescent="0.35">
      <c r="A970" t="s">
        <v>3280</v>
      </c>
      <c r="B970" t="s">
        <v>261</v>
      </c>
      <c r="C970" t="s">
        <v>52</v>
      </c>
      <c r="D970" t="s">
        <v>44</v>
      </c>
      <c r="E970" t="s">
        <v>37</v>
      </c>
      <c r="F970" t="s">
        <v>25</v>
      </c>
      <c r="G970" t="s">
        <v>3281</v>
      </c>
      <c r="H970" t="s">
        <v>3282</v>
      </c>
      <c r="I970" t="s">
        <v>49</v>
      </c>
      <c r="J970" t="s">
        <v>64</v>
      </c>
    </row>
    <row r="971" spans="1:10" x14ac:dyDescent="0.35">
      <c r="A971" t="s">
        <v>3283</v>
      </c>
      <c r="B971" t="s">
        <v>1840</v>
      </c>
      <c r="C971" t="s">
        <v>108</v>
      </c>
      <c r="D971" t="s">
        <v>13</v>
      </c>
      <c r="E971" t="s">
        <v>14</v>
      </c>
      <c r="F971" t="s">
        <v>38</v>
      </c>
      <c r="G971" t="s">
        <v>3284</v>
      </c>
      <c r="H971" t="s">
        <v>3285</v>
      </c>
      <c r="I971" t="s">
        <v>18</v>
      </c>
      <c r="J971" t="s">
        <v>41</v>
      </c>
    </row>
    <row r="972" spans="1:10" x14ac:dyDescent="0.35">
      <c r="A972" t="s">
        <v>3286</v>
      </c>
      <c r="B972" t="s">
        <v>1971</v>
      </c>
      <c r="C972" t="s">
        <v>72</v>
      </c>
      <c r="D972" t="s">
        <v>36</v>
      </c>
      <c r="E972" t="s">
        <v>45</v>
      </c>
      <c r="F972" t="s">
        <v>38</v>
      </c>
      <c r="G972" t="s">
        <v>3287</v>
      </c>
      <c r="H972" t="s">
        <v>3288</v>
      </c>
      <c r="I972" t="s">
        <v>32</v>
      </c>
      <c r="J972" t="s">
        <v>19</v>
      </c>
    </row>
    <row r="973" spans="1:10" x14ac:dyDescent="0.35">
      <c r="A973" t="s">
        <v>3289</v>
      </c>
      <c r="B973" t="s">
        <v>3209</v>
      </c>
      <c r="C973" t="s">
        <v>52</v>
      </c>
      <c r="D973" t="s">
        <v>44</v>
      </c>
      <c r="E973" t="s">
        <v>24</v>
      </c>
      <c r="F973" t="s">
        <v>15</v>
      </c>
      <c r="G973" t="s">
        <v>3290</v>
      </c>
      <c r="H973" t="s">
        <v>3291</v>
      </c>
      <c r="I973" t="s">
        <v>18</v>
      </c>
      <c r="J973" t="s">
        <v>64</v>
      </c>
    </row>
    <row r="974" spans="1:10" x14ac:dyDescent="0.35">
      <c r="A974" t="s">
        <v>3292</v>
      </c>
      <c r="B974" t="s">
        <v>142</v>
      </c>
      <c r="C974" t="s">
        <v>52</v>
      </c>
      <c r="D974" t="s">
        <v>53</v>
      </c>
      <c r="E974" t="s">
        <v>37</v>
      </c>
      <c r="F974" t="s">
        <v>79</v>
      </c>
      <c r="G974" t="s">
        <v>3293</v>
      </c>
      <c r="H974" t="s">
        <v>3294</v>
      </c>
      <c r="I974" t="s">
        <v>32</v>
      </c>
      <c r="J974" t="s">
        <v>19</v>
      </c>
    </row>
    <row r="975" spans="1:10" x14ac:dyDescent="0.35">
      <c r="A975" t="s">
        <v>3295</v>
      </c>
      <c r="B975" t="s">
        <v>644</v>
      </c>
      <c r="C975" t="s">
        <v>22</v>
      </c>
      <c r="D975" t="s">
        <v>13</v>
      </c>
      <c r="E975" t="s">
        <v>14</v>
      </c>
      <c r="F975" t="s">
        <v>15</v>
      </c>
      <c r="G975" t="s">
        <v>3296</v>
      </c>
      <c r="H975" t="s">
        <v>3297</v>
      </c>
      <c r="I975" t="s">
        <v>18</v>
      </c>
      <c r="J975" t="s">
        <v>19</v>
      </c>
    </row>
    <row r="976" spans="1:10" x14ac:dyDescent="0.35">
      <c r="A976" t="s">
        <v>3298</v>
      </c>
      <c r="B976" t="s">
        <v>1544</v>
      </c>
      <c r="C976" t="s">
        <v>52</v>
      </c>
      <c r="D976" t="s">
        <v>73</v>
      </c>
      <c r="E976" t="s">
        <v>14</v>
      </c>
      <c r="F976" t="s">
        <v>38</v>
      </c>
      <c r="G976" t="s">
        <v>3299</v>
      </c>
      <c r="H976" t="s">
        <v>3300</v>
      </c>
      <c r="I976" t="s">
        <v>49</v>
      </c>
      <c r="J976" t="s">
        <v>19</v>
      </c>
    </row>
    <row r="977" spans="1:10" x14ac:dyDescent="0.35">
      <c r="A977" t="s">
        <v>3301</v>
      </c>
      <c r="B977" t="s">
        <v>3302</v>
      </c>
      <c r="C977" t="s">
        <v>22</v>
      </c>
      <c r="D977" t="s">
        <v>53</v>
      </c>
      <c r="E977" t="s">
        <v>37</v>
      </c>
      <c r="F977" t="s">
        <v>25</v>
      </c>
      <c r="G977" t="s">
        <v>3303</v>
      </c>
      <c r="H977" t="s">
        <v>3304</v>
      </c>
      <c r="I977" t="s">
        <v>49</v>
      </c>
      <c r="J977" t="s">
        <v>64</v>
      </c>
    </row>
    <row r="978" spans="1:10" x14ac:dyDescent="0.35">
      <c r="A978" t="s">
        <v>3305</v>
      </c>
      <c r="B978" t="s">
        <v>729</v>
      </c>
      <c r="C978" t="s">
        <v>22</v>
      </c>
      <c r="D978" t="s">
        <v>44</v>
      </c>
      <c r="E978" t="s">
        <v>45</v>
      </c>
      <c r="F978" t="s">
        <v>79</v>
      </c>
      <c r="G978" t="s">
        <v>3306</v>
      </c>
      <c r="H978" t="s">
        <v>3307</v>
      </c>
      <c r="I978" t="s">
        <v>49</v>
      </c>
      <c r="J978" t="s">
        <v>64</v>
      </c>
    </row>
    <row r="979" spans="1:10" x14ac:dyDescent="0.35">
      <c r="A979" t="s">
        <v>3308</v>
      </c>
      <c r="B979" t="s">
        <v>867</v>
      </c>
      <c r="C979" t="s">
        <v>72</v>
      </c>
      <c r="D979" t="s">
        <v>53</v>
      </c>
      <c r="E979" t="s">
        <v>24</v>
      </c>
      <c r="F979" t="s">
        <v>25</v>
      </c>
      <c r="G979" t="s">
        <v>3309</v>
      </c>
      <c r="H979" t="s">
        <v>3310</v>
      </c>
      <c r="I979" t="s">
        <v>49</v>
      </c>
      <c r="J979" t="s">
        <v>33</v>
      </c>
    </row>
    <row r="980" spans="1:10" x14ac:dyDescent="0.35">
      <c r="A980" t="s">
        <v>3311</v>
      </c>
      <c r="B980" t="s">
        <v>3312</v>
      </c>
      <c r="C980" t="s">
        <v>99</v>
      </c>
      <c r="D980" t="s">
        <v>44</v>
      </c>
      <c r="E980" t="s">
        <v>24</v>
      </c>
      <c r="F980" t="s">
        <v>79</v>
      </c>
      <c r="G980" t="s">
        <v>3313</v>
      </c>
      <c r="H980" t="s">
        <v>3314</v>
      </c>
      <c r="I980" t="s">
        <v>32</v>
      </c>
      <c r="J980" t="s">
        <v>33</v>
      </c>
    </row>
    <row r="981" spans="1:10" x14ac:dyDescent="0.35">
      <c r="A981" t="s">
        <v>3315</v>
      </c>
      <c r="B981" t="s">
        <v>1565</v>
      </c>
      <c r="C981" t="s">
        <v>108</v>
      </c>
      <c r="D981" t="s">
        <v>53</v>
      </c>
      <c r="E981" t="s">
        <v>134</v>
      </c>
      <c r="F981" t="s">
        <v>74</v>
      </c>
      <c r="G981" t="s">
        <v>3316</v>
      </c>
      <c r="H981" t="s">
        <v>3317</v>
      </c>
      <c r="I981" t="s">
        <v>18</v>
      </c>
      <c r="J981" t="s">
        <v>33</v>
      </c>
    </row>
    <row r="982" spans="1:10" x14ac:dyDescent="0.35">
      <c r="A982" t="s">
        <v>3318</v>
      </c>
      <c r="B982" t="s">
        <v>442</v>
      </c>
      <c r="C982" t="s">
        <v>52</v>
      </c>
      <c r="D982" t="s">
        <v>13</v>
      </c>
      <c r="E982" t="s">
        <v>37</v>
      </c>
      <c r="F982" t="s">
        <v>25</v>
      </c>
      <c r="G982" t="s">
        <v>3319</v>
      </c>
      <c r="H982" t="s">
        <v>3320</v>
      </c>
      <c r="I982" t="s">
        <v>49</v>
      </c>
      <c r="J982" t="s">
        <v>41</v>
      </c>
    </row>
    <row r="983" spans="1:10" x14ac:dyDescent="0.35">
      <c r="A983" t="s">
        <v>3321</v>
      </c>
      <c r="B983" t="s">
        <v>2246</v>
      </c>
      <c r="C983" t="s">
        <v>72</v>
      </c>
      <c r="D983" t="s">
        <v>53</v>
      </c>
      <c r="E983" t="s">
        <v>134</v>
      </c>
      <c r="F983" t="s">
        <v>15</v>
      </c>
      <c r="G983" t="s">
        <v>3322</v>
      </c>
      <c r="H983" t="s">
        <v>3323</v>
      </c>
      <c r="I983" t="s">
        <v>49</v>
      </c>
      <c r="J983" t="s">
        <v>33</v>
      </c>
    </row>
    <row r="984" spans="1:10" x14ac:dyDescent="0.35">
      <c r="A984" t="s">
        <v>3324</v>
      </c>
      <c r="B984" t="s">
        <v>138</v>
      </c>
      <c r="C984" t="s">
        <v>72</v>
      </c>
      <c r="D984" t="s">
        <v>36</v>
      </c>
      <c r="E984" t="s">
        <v>134</v>
      </c>
      <c r="F984" t="s">
        <v>25</v>
      </c>
      <c r="G984" t="s">
        <v>3325</v>
      </c>
      <c r="H984" t="s">
        <v>3326</v>
      </c>
      <c r="I984" t="s">
        <v>32</v>
      </c>
      <c r="J984" t="s">
        <v>41</v>
      </c>
    </row>
    <row r="985" spans="1:10" x14ac:dyDescent="0.35">
      <c r="A985" t="s">
        <v>3327</v>
      </c>
      <c r="B985" t="s">
        <v>923</v>
      </c>
      <c r="C985" t="s">
        <v>12</v>
      </c>
      <c r="D985" t="s">
        <v>13</v>
      </c>
      <c r="E985" t="s">
        <v>45</v>
      </c>
      <c r="F985" t="s">
        <v>25</v>
      </c>
      <c r="G985" t="s">
        <v>3328</v>
      </c>
      <c r="H985" t="s">
        <v>3329</v>
      </c>
      <c r="I985" t="s">
        <v>18</v>
      </c>
      <c r="J985" t="s">
        <v>19</v>
      </c>
    </row>
    <row r="986" spans="1:10" x14ac:dyDescent="0.35">
      <c r="A986" t="s">
        <v>3330</v>
      </c>
      <c r="B986" t="s">
        <v>801</v>
      </c>
      <c r="C986" t="s">
        <v>12</v>
      </c>
      <c r="D986" t="s">
        <v>36</v>
      </c>
      <c r="E986" t="s">
        <v>14</v>
      </c>
      <c r="F986" t="s">
        <v>79</v>
      </c>
      <c r="G986" t="s">
        <v>3331</v>
      </c>
      <c r="H986" t="s">
        <v>3332</v>
      </c>
      <c r="I986" t="s">
        <v>18</v>
      </c>
      <c r="J986" t="s">
        <v>19</v>
      </c>
    </row>
    <row r="987" spans="1:10" x14ac:dyDescent="0.35">
      <c r="A987" t="s">
        <v>3333</v>
      </c>
      <c r="B987" t="s">
        <v>827</v>
      </c>
      <c r="C987" t="s">
        <v>12</v>
      </c>
      <c r="D987" t="s">
        <v>44</v>
      </c>
      <c r="E987" t="s">
        <v>14</v>
      </c>
      <c r="F987" t="s">
        <v>38</v>
      </c>
      <c r="G987" t="s">
        <v>3334</v>
      </c>
      <c r="H987" t="s">
        <v>3335</v>
      </c>
      <c r="I987" t="s">
        <v>18</v>
      </c>
      <c r="J987" t="s">
        <v>33</v>
      </c>
    </row>
    <row r="988" spans="1:10" x14ac:dyDescent="0.35">
      <c r="A988" t="s">
        <v>3336</v>
      </c>
      <c r="B988" t="s">
        <v>166</v>
      </c>
      <c r="C988" t="s">
        <v>67</v>
      </c>
      <c r="D988" t="s">
        <v>36</v>
      </c>
      <c r="E988" t="s">
        <v>109</v>
      </c>
      <c r="F988" t="s">
        <v>46</v>
      </c>
      <c r="G988" t="s">
        <v>3337</v>
      </c>
      <c r="H988" t="s">
        <v>3338</v>
      </c>
      <c r="I988" t="s">
        <v>18</v>
      </c>
      <c r="J988" t="s">
        <v>19</v>
      </c>
    </row>
    <row r="989" spans="1:10" x14ac:dyDescent="0.35">
      <c r="A989" t="s">
        <v>3339</v>
      </c>
      <c r="B989" t="s">
        <v>694</v>
      </c>
      <c r="C989" t="s">
        <v>22</v>
      </c>
      <c r="D989" t="s">
        <v>13</v>
      </c>
      <c r="E989" t="s">
        <v>45</v>
      </c>
      <c r="F989" t="s">
        <v>15</v>
      </c>
      <c r="G989" t="s">
        <v>3340</v>
      </c>
      <c r="H989" t="s">
        <v>3341</v>
      </c>
      <c r="I989" t="s">
        <v>18</v>
      </c>
      <c r="J989" t="s">
        <v>41</v>
      </c>
    </row>
    <row r="990" spans="1:10" x14ac:dyDescent="0.35">
      <c r="A990" t="s">
        <v>3342</v>
      </c>
      <c r="B990" t="s">
        <v>736</v>
      </c>
      <c r="C990" t="s">
        <v>12</v>
      </c>
      <c r="D990" t="s">
        <v>73</v>
      </c>
      <c r="E990" t="s">
        <v>37</v>
      </c>
      <c r="F990" t="s">
        <v>15</v>
      </c>
      <c r="G990" t="s">
        <v>3343</v>
      </c>
      <c r="H990" t="s">
        <v>3344</v>
      </c>
      <c r="I990" t="s">
        <v>49</v>
      </c>
      <c r="J990" t="s">
        <v>19</v>
      </c>
    </row>
    <row r="991" spans="1:10" x14ac:dyDescent="0.35">
      <c r="A991" t="s">
        <v>3345</v>
      </c>
      <c r="B991" t="s">
        <v>837</v>
      </c>
      <c r="C991" t="s">
        <v>108</v>
      </c>
      <c r="D991" t="s">
        <v>23</v>
      </c>
      <c r="E991" t="s">
        <v>24</v>
      </c>
      <c r="F991" t="s">
        <v>74</v>
      </c>
      <c r="G991" t="s">
        <v>3346</v>
      </c>
      <c r="H991" t="s">
        <v>3347</v>
      </c>
      <c r="I991" t="s">
        <v>32</v>
      </c>
      <c r="J991" t="s">
        <v>41</v>
      </c>
    </row>
    <row r="992" spans="1:10" x14ac:dyDescent="0.35">
      <c r="A992" t="s">
        <v>3348</v>
      </c>
      <c r="B992" t="s">
        <v>138</v>
      </c>
      <c r="C992" t="s">
        <v>52</v>
      </c>
      <c r="D992" t="s">
        <v>36</v>
      </c>
      <c r="E992" t="s">
        <v>37</v>
      </c>
      <c r="F992" t="s">
        <v>46</v>
      </c>
      <c r="G992" t="s">
        <v>3349</v>
      </c>
      <c r="H992" t="s">
        <v>3350</v>
      </c>
      <c r="I992" t="s">
        <v>49</v>
      </c>
      <c r="J992" t="s">
        <v>64</v>
      </c>
    </row>
    <row r="993" spans="1:10" x14ac:dyDescent="0.35">
      <c r="A993" t="s">
        <v>3351</v>
      </c>
      <c r="B993" t="s">
        <v>3352</v>
      </c>
      <c r="C993" t="s">
        <v>72</v>
      </c>
      <c r="D993" t="s">
        <v>53</v>
      </c>
      <c r="E993" t="s">
        <v>45</v>
      </c>
      <c r="F993" t="s">
        <v>74</v>
      </c>
      <c r="G993" t="s">
        <v>3353</v>
      </c>
      <c r="H993" t="s">
        <v>3354</v>
      </c>
      <c r="I993" t="s">
        <v>18</v>
      </c>
      <c r="J993" t="s">
        <v>41</v>
      </c>
    </row>
    <row r="994" spans="1:10" x14ac:dyDescent="0.35">
      <c r="A994" t="s">
        <v>3355</v>
      </c>
      <c r="B994" t="s">
        <v>3356</v>
      </c>
      <c r="C994" t="s">
        <v>99</v>
      </c>
      <c r="D994" t="s">
        <v>44</v>
      </c>
      <c r="E994" t="s">
        <v>134</v>
      </c>
      <c r="F994" t="s">
        <v>15</v>
      </c>
      <c r="G994" t="s">
        <v>3357</v>
      </c>
      <c r="H994" t="s">
        <v>3358</v>
      </c>
      <c r="I994" t="s">
        <v>18</v>
      </c>
      <c r="J994" t="s">
        <v>64</v>
      </c>
    </row>
    <row r="995" spans="1:10" x14ac:dyDescent="0.35">
      <c r="A995" t="s">
        <v>3359</v>
      </c>
      <c r="B995" t="s">
        <v>1145</v>
      </c>
      <c r="C995" t="s">
        <v>52</v>
      </c>
      <c r="D995" t="s">
        <v>73</v>
      </c>
      <c r="E995" t="s">
        <v>109</v>
      </c>
      <c r="F995" t="s">
        <v>46</v>
      </c>
      <c r="G995" t="s">
        <v>3360</v>
      </c>
      <c r="H995" t="s">
        <v>3361</v>
      </c>
      <c r="I995" t="s">
        <v>32</v>
      </c>
      <c r="J995" t="s">
        <v>33</v>
      </c>
    </row>
    <row r="996" spans="1:10" x14ac:dyDescent="0.35">
      <c r="A996" t="s">
        <v>3362</v>
      </c>
      <c r="B996" t="s">
        <v>1914</v>
      </c>
      <c r="C996" t="s">
        <v>52</v>
      </c>
      <c r="D996" t="s">
        <v>53</v>
      </c>
      <c r="E996" t="s">
        <v>14</v>
      </c>
      <c r="F996" t="s">
        <v>15</v>
      </c>
      <c r="G996" t="s">
        <v>3363</v>
      </c>
      <c r="H996" t="s">
        <v>3364</v>
      </c>
      <c r="I996" t="s">
        <v>32</v>
      </c>
      <c r="J996" t="s">
        <v>64</v>
      </c>
    </row>
    <row r="997" spans="1:10" x14ac:dyDescent="0.35">
      <c r="A997" t="s">
        <v>3365</v>
      </c>
      <c r="B997" t="s">
        <v>1565</v>
      </c>
      <c r="C997" t="s">
        <v>52</v>
      </c>
      <c r="D997" t="s">
        <v>36</v>
      </c>
      <c r="E997" t="s">
        <v>109</v>
      </c>
      <c r="F997" t="s">
        <v>15</v>
      </c>
      <c r="G997" t="s">
        <v>3366</v>
      </c>
      <c r="H997" t="s">
        <v>3367</v>
      </c>
      <c r="I997" t="s">
        <v>18</v>
      </c>
      <c r="J997" t="s">
        <v>19</v>
      </c>
    </row>
    <row r="998" spans="1:10" x14ac:dyDescent="0.35">
      <c r="A998" t="s">
        <v>3368</v>
      </c>
      <c r="B998" t="s">
        <v>1938</v>
      </c>
      <c r="C998" t="s">
        <v>22</v>
      </c>
      <c r="D998" t="s">
        <v>23</v>
      </c>
      <c r="E998" t="s">
        <v>14</v>
      </c>
      <c r="F998" t="s">
        <v>74</v>
      </c>
      <c r="G998" t="s">
        <v>3369</v>
      </c>
      <c r="H998" t="s">
        <v>3370</v>
      </c>
      <c r="I998" t="s">
        <v>18</v>
      </c>
      <c r="J998" t="s">
        <v>64</v>
      </c>
    </row>
    <row r="999" spans="1:10" x14ac:dyDescent="0.35">
      <c r="A999" t="s">
        <v>3371</v>
      </c>
      <c r="B999" t="s">
        <v>302</v>
      </c>
      <c r="C999" t="s">
        <v>99</v>
      </c>
      <c r="D999" t="s">
        <v>73</v>
      </c>
      <c r="E999" t="s">
        <v>45</v>
      </c>
      <c r="F999" t="s">
        <v>38</v>
      </c>
      <c r="G999" t="s">
        <v>3372</v>
      </c>
      <c r="H999" t="s">
        <v>3373</v>
      </c>
      <c r="I999" t="s">
        <v>32</v>
      </c>
      <c r="J999" t="s">
        <v>41</v>
      </c>
    </row>
    <row r="1000" spans="1:10" x14ac:dyDescent="0.35">
      <c r="A1000" t="s">
        <v>3374</v>
      </c>
      <c r="B1000" t="s">
        <v>1039</v>
      </c>
      <c r="C1000" t="s">
        <v>72</v>
      </c>
      <c r="D1000" t="s">
        <v>73</v>
      </c>
      <c r="E1000" t="s">
        <v>45</v>
      </c>
      <c r="F1000" t="s">
        <v>25</v>
      </c>
      <c r="G1000" t="s">
        <v>3375</v>
      </c>
      <c r="H1000" t="s">
        <v>3376</v>
      </c>
      <c r="I1000" t="s">
        <v>32</v>
      </c>
      <c r="J1000" t="s">
        <v>64</v>
      </c>
    </row>
    <row r="1001" spans="1:10" x14ac:dyDescent="0.35">
      <c r="A1001" t="s">
        <v>3377</v>
      </c>
      <c r="B1001" t="s">
        <v>1938</v>
      </c>
      <c r="C1001" t="s">
        <v>52</v>
      </c>
      <c r="D1001" t="s">
        <v>36</v>
      </c>
      <c r="E1001" t="s">
        <v>45</v>
      </c>
      <c r="F1001" t="s">
        <v>46</v>
      </c>
      <c r="G1001" t="s">
        <v>3378</v>
      </c>
      <c r="H1001" t="s">
        <v>3379</v>
      </c>
      <c r="I1001" t="s">
        <v>49</v>
      </c>
      <c r="J1001" t="s">
        <v>19</v>
      </c>
    </row>
    <row r="1002" spans="1:10" x14ac:dyDescent="0.35">
      <c r="A1002" t="s">
        <v>10</v>
      </c>
      <c r="B1002" t="s">
        <v>11</v>
      </c>
      <c r="C1002" t="s">
        <v>12</v>
      </c>
      <c r="D1002" t="s">
        <v>13</v>
      </c>
      <c r="E1002" t="s">
        <v>14</v>
      </c>
      <c r="F1002" t="s">
        <v>15</v>
      </c>
      <c r="G1002" t="s">
        <v>16</v>
      </c>
      <c r="H1002" t="s">
        <v>17</v>
      </c>
      <c r="I1002" t="s">
        <v>18</v>
      </c>
      <c r="J1002" t="s">
        <v>19</v>
      </c>
    </row>
    <row r="1003" spans="1:10" x14ac:dyDescent="0.35">
      <c r="A1003" t="s">
        <v>20</v>
      </c>
      <c r="B1003" t="s">
        <v>21</v>
      </c>
      <c r="C1003" t="s">
        <v>22</v>
      </c>
      <c r="D1003" t="s">
        <v>23</v>
      </c>
      <c r="E1003" t="s">
        <v>24</v>
      </c>
      <c r="F1003" t="s">
        <v>25</v>
      </c>
      <c r="G1003" t="s">
        <v>26</v>
      </c>
      <c r="H1003" t="s">
        <v>27</v>
      </c>
      <c r="I1003" t="s">
        <v>18</v>
      </c>
      <c r="J1003" t="s">
        <v>19</v>
      </c>
    </row>
    <row r="1004" spans="1:10" x14ac:dyDescent="0.35">
      <c r="A1004" t="s">
        <v>28</v>
      </c>
      <c r="B1004" t="s">
        <v>29</v>
      </c>
      <c r="C1004" t="s">
        <v>12</v>
      </c>
      <c r="D1004" t="s">
        <v>23</v>
      </c>
      <c r="E1004" t="s">
        <v>14</v>
      </c>
      <c r="F1004" t="s">
        <v>25</v>
      </c>
      <c r="G1004" t="s">
        <v>30</v>
      </c>
      <c r="H1004" t="s">
        <v>31</v>
      </c>
      <c r="I1004" t="s">
        <v>32</v>
      </c>
      <c r="J1004" t="s">
        <v>33</v>
      </c>
    </row>
    <row r="1005" spans="1:10" x14ac:dyDescent="0.35">
      <c r="A1005" t="s">
        <v>34</v>
      </c>
      <c r="B1005" t="s">
        <v>35</v>
      </c>
      <c r="C1005" t="s">
        <v>22</v>
      </c>
      <c r="D1005" t="s">
        <v>36</v>
      </c>
      <c r="E1005" t="s">
        <v>37</v>
      </c>
      <c r="F1005" t="s">
        <v>38</v>
      </c>
      <c r="G1005" t="s">
        <v>39</v>
      </c>
      <c r="H1005" t="s">
        <v>40</v>
      </c>
      <c r="I1005" t="s">
        <v>18</v>
      </c>
      <c r="J1005" t="s">
        <v>41</v>
      </c>
    </row>
    <row r="1006" spans="1:10" x14ac:dyDescent="0.35">
      <c r="A1006" t="s">
        <v>42</v>
      </c>
      <c r="B1006" t="s">
        <v>43</v>
      </c>
      <c r="C1006" t="s">
        <v>22</v>
      </c>
      <c r="D1006" t="s">
        <v>44</v>
      </c>
      <c r="E1006" t="s">
        <v>45</v>
      </c>
      <c r="F1006" t="s">
        <v>46</v>
      </c>
      <c r="G1006" t="s">
        <v>47</v>
      </c>
      <c r="H1006" t="s">
        <v>48</v>
      </c>
      <c r="I1006" t="s">
        <v>49</v>
      </c>
      <c r="J1006" t="s">
        <v>33</v>
      </c>
    </row>
    <row r="1007" spans="1:10" x14ac:dyDescent="0.35">
      <c r="A1007" t="s">
        <v>50</v>
      </c>
      <c r="B1007" t="s">
        <v>51</v>
      </c>
      <c r="C1007" t="s">
        <v>52</v>
      </c>
      <c r="D1007" t="s">
        <v>53</v>
      </c>
      <c r="E1007" t="s">
        <v>45</v>
      </c>
      <c r="F1007" t="s">
        <v>15</v>
      </c>
      <c r="G1007" t="s">
        <v>54</v>
      </c>
      <c r="H1007" t="s">
        <v>55</v>
      </c>
      <c r="I1007" t="s">
        <v>49</v>
      </c>
      <c r="J1007" t="s">
        <v>19</v>
      </c>
    </row>
    <row r="1008" spans="1:10" x14ac:dyDescent="0.35">
      <c r="A1008" t="s">
        <v>56</v>
      </c>
      <c r="B1008" t="s">
        <v>57</v>
      </c>
      <c r="C1008" t="s">
        <v>52</v>
      </c>
      <c r="D1008" t="s">
        <v>36</v>
      </c>
      <c r="E1008" t="s">
        <v>45</v>
      </c>
      <c r="F1008" t="s">
        <v>38</v>
      </c>
      <c r="G1008" t="s">
        <v>58</v>
      </c>
      <c r="H1008" t="s">
        <v>59</v>
      </c>
      <c r="I1008" t="s">
        <v>18</v>
      </c>
      <c r="J1008" t="s">
        <v>33</v>
      </c>
    </row>
    <row r="1009" spans="1:10" x14ac:dyDescent="0.35">
      <c r="A1009" t="s">
        <v>60</v>
      </c>
      <c r="B1009" t="s">
        <v>61</v>
      </c>
      <c r="C1009" t="s">
        <v>22</v>
      </c>
      <c r="D1009" t="s">
        <v>13</v>
      </c>
      <c r="E1009" t="s">
        <v>24</v>
      </c>
      <c r="F1009" t="s">
        <v>38</v>
      </c>
      <c r="G1009" t="s">
        <v>62</v>
      </c>
      <c r="H1009" t="s">
        <v>63</v>
      </c>
      <c r="I1009" t="s">
        <v>18</v>
      </c>
      <c r="J1009" t="s">
        <v>64</v>
      </c>
    </row>
    <row r="1010" spans="1:10" x14ac:dyDescent="0.35">
      <c r="A1010" t="s">
        <v>65</v>
      </c>
      <c r="B1010" t="s">
        <v>66</v>
      </c>
      <c r="C1010" t="s">
        <v>67</v>
      </c>
      <c r="D1010" t="s">
        <v>36</v>
      </c>
      <c r="E1010" t="s">
        <v>45</v>
      </c>
      <c r="F1010" t="s">
        <v>15</v>
      </c>
      <c r="G1010" t="s">
        <v>68</v>
      </c>
      <c r="H1010" t="s">
        <v>69</v>
      </c>
      <c r="I1010" t="s">
        <v>49</v>
      </c>
      <c r="J1010" t="s">
        <v>41</v>
      </c>
    </row>
    <row r="1011" spans="1:10" x14ac:dyDescent="0.35">
      <c r="A1011" t="s">
        <v>70</v>
      </c>
      <c r="B1011" t="s">
        <v>71</v>
      </c>
      <c r="C1011" t="s">
        <v>72</v>
      </c>
      <c r="D1011" t="s">
        <v>73</v>
      </c>
      <c r="E1011" t="s">
        <v>37</v>
      </c>
      <c r="F1011" t="s">
        <v>74</v>
      </c>
      <c r="G1011" t="s">
        <v>75</v>
      </c>
      <c r="H1011" t="s">
        <v>76</v>
      </c>
      <c r="I1011" t="s">
        <v>32</v>
      </c>
      <c r="J1011" t="s">
        <v>41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C9D3-9A38-4E49-A273-280D8BC95D9A}">
  <dimension ref="A1:M1002"/>
  <sheetViews>
    <sheetView topLeftCell="A2" workbookViewId="0">
      <selection activeCell="I986" sqref="I986"/>
    </sheetView>
  </sheetViews>
  <sheetFormatPr defaultRowHeight="14.5" x14ac:dyDescent="0.35"/>
  <cols>
    <col min="1" max="1" width="15.26953125" bestFit="1" customWidth="1"/>
    <col min="2" max="2" width="9.453125" bestFit="1" customWidth="1"/>
    <col min="3" max="3" width="12.08984375" bestFit="1" customWidth="1"/>
    <col min="4" max="4" width="17.7265625" bestFit="1" customWidth="1"/>
    <col min="5" max="5" width="15.1796875" bestFit="1" customWidth="1"/>
    <col min="6" max="6" width="13.08984375" bestFit="1" customWidth="1"/>
    <col min="7" max="7" width="10.26953125" bestFit="1" customWidth="1"/>
    <col min="8" max="8" width="10.81640625" bestFit="1" customWidth="1"/>
    <col min="9" max="9" width="17.81640625" bestFit="1" customWidth="1"/>
    <col min="10" max="10" width="15.81640625" bestFit="1" customWidth="1"/>
    <col min="11" max="11" width="9.81640625" bestFit="1" customWidth="1"/>
    <col min="12" max="12" width="14.1796875" bestFit="1" customWidth="1"/>
    <col min="13" max="13" width="10.54296875" bestFit="1" customWidth="1"/>
  </cols>
  <sheetData>
    <row r="1" spans="1:13" x14ac:dyDescent="0.35">
      <c r="A1" t="s">
        <v>0</v>
      </c>
      <c r="B1" t="s">
        <v>1</v>
      </c>
      <c r="C1" t="s">
        <v>2</v>
      </c>
      <c r="D1" t="s">
        <v>3</v>
      </c>
      <c r="E1" t="s">
        <v>4</v>
      </c>
      <c r="F1" t="s">
        <v>5</v>
      </c>
      <c r="G1" t="s">
        <v>6</v>
      </c>
      <c r="H1" t="s">
        <v>7</v>
      </c>
      <c r="I1" t="s">
        <v>8</v>
      </c>
      <c r="J1" t="s">
        <v>9</v>
      </c>
      <c r="K1" t="s">
        <v>3381</v>
      </c>
      <c r="L1" t="s">
        <v>3382</v>
      </c>
      <c r="M1" t="s">
        <v>3380</v>
      </c>
    </row>
    <row r="2" spans="1:13" x14ac:dyDescent="0.35">
      <c r="A2" t="s">
        <v>10</v>
      </c>
      <c r="B2" s="1">
        <v>46131</v>
      </c>
      <c r="C2" t="s">
        <v>12</v>
      </c>
      <c r="D2" t="s">
        <v>53</v>
      </c>
      <c r="E2" t="s">
        <v>14</v>
      </c>
      <c r="F2" t="s">
        <v>15</v>
      </c>
      <c r="G2">
        <v>168831.4</v>
      </c>
      <c r="H2">
        <v>130857.36</v>
      </c>
      <c r="I2" t="s">
        <v>18</v>
      </c>
      <c r="J2" t="s">
        <v>19</v>
      </c>
      <c r="K2">
        <v>37974.039999999994</v>
      </c>
      <c r="L2">
        <v>0.22492285202871026</v>
      </c>
    </row>
    <row r="3" spans="1:13" x14ac:dyDescent="0.35">
      <c r="A3" t="s">
        <v>20</v>
      </c>
      <c r="B3" s="1">
        <v>46097</v>
      </c>
      <c r="C3" t="s">
        <v>3383</v>
      </c>
      <c r="D3" t="s">
        <v>23</v>
      </c>
      <c r="E3" t="s">
        <v>24</v>
      </c>
      <c r="F3" t="s">
        <v>25</v>
      </c>
      <c r="G3">
        <v>199379.39</v>
      </c>
      <c r="H3">
        <v>140800.19</v>
      </c>
      <c r="I3" t="s">
        <v>18</v>
      </c>
      <c r="J3" t="s">
        <v>19</v>
      </c>
      <c r="K3">
        <v>58579.200000000012</v>
      </c>
      <c r="L3">
        <v>0.29380769998343365</v>
      </c>
    </row>
    <row r="4" spans="1:13" x14ac:dyDescent="0.35">
      <c r="A4" t="s">
        <v>28</v>
      </c>
      <c r="B4" s="1">
        <v>46074</v>
      </c>
      <c r="C4" t="s">
        <v>12</v>
      </c>
      <c r="D4" t="s">
        <v>23</v>
      </c>
      <c r="E4" t="s">
        <v>14</v>
      </c>
      <c r="F4" t="s">
        <v>25</v>
      </c>
      <c r="G4">
        <v>63929.72</v>
      </c>
      <c r="H4">
        <v>59221.760000000002</v>
      </c>
      <c r="I4" t="s">
        <v>32</v>
      </c>
      <c r="J4" t="s">
        <v>19</v>
      </c>
      <c r="K4">
        <v>4707.9599999999991</v>
      </c>
      <c r="L4">
        <v>7.3642743938187108E-2</v>
      </c>
    </row>
    <row r="5" spans="1:13" x14ac:dyDescent="0.35">
      <c r="A5" t="s">
        <v>34</v>
      </c>
      <c r="B5" s="1">
        <v>46030</v>
      </c>
      <c r="C5" t="s">
        <v>3383</v>
      </c>
      <c r="D5" t="s">
        <v>36</v>
      </c>
      <c r="E5" t="s">
        <v>37</v>
      </c>
      <c r="F5" t="s">
        <v>38</v>
      </c>
      <c r="G5">
        <v>309517.33</v>
      </c>
      <c r="H5">
        <v>138144.12</v>
      </c>
      <c r="I5" t="s">
        <v>18</v>
      </c>
      <c r="J5" t="s">
        <v>41</v>
      </c>
      <c r="K5">
        <v>171373.21000000002</v>
      </c>
      <c r="L5">
        <v>0.55367888447474012</v>
      </c>
    </row>
    <row r="6" spans="1:13" x14ac:dyDescent="0.35">
      <c r="A6" t="s">
        <v>42</v>
      </c>
      <c r="B6" s="1">
        <v>46090</v>
      </c>
      <c r="C6" t="s">
        <v>3383</v>
      </c>
      <c r="D6" t="s">
        <v>23</v>
      </c>
      <c r="E6" t="s">
        <v>45</v>
      </c>
      <c r="F6" t="s">
        <v>46</v>
      </c>
      <c r="G6">
        <v>337067.28</v>
      </c>
      <c r="H6">
        <v>225842.63</v>
      </c>
      <c r="I6" t="s">
        <v>49</v>
      </c>
      <c r="J6" t="s">
        <v>19</v>
      </c>
      <c r="K6">
        <v>111224.65000000002</v>
      </c>
      <c r="L6">
        <v>0.32997759379077085</v>
      </c>
    </row>
    <row r="7" spans="1:13" x14ac:dyDescent="0.35">
      <c r="A7" t="s">
        <v>50</v>
      </c>
      <c r="B7" s="1">
        <v>46144</v>
      </c>
      <c r="C7" t="s">
        <v>52</v>
      </c>
      <c r="D7" t="s">
        <v>53</v>
      </c>
      <c r="E7" t="s">
        <v>45</v>
      </c>
      <c r="F7" t="s">
        <v>15</v>
      </c>
      <c r="G7">
        <v>71943.350000000006</v>
      </c>
      <c r="H7">
        <v>38807.26</v>
      </c>
      <c r="I7" t="s">
        <v>49</v>
      </c>
      <c r="J7" t="s">
        <v>19</v>
      </c>
      <c r="K7">
        <v>33136.090000000004</v>
      </c>
      <c r="L7">
        <v>0.46058586373862215</v>
      </c>
    </row>
    <row r="8" spans="1:13" x14ac:dyDescent="0.35">
      <c r="A8" t="s">
        <v>56</v>
      </c>
      <c r="B8" s="1">
        <v>46123</v>
      </c>
      <c r="C8" t="s">
        <v>52</v>
      </c>
      <c r="D8" t="s">
        <v>36</v>
      </c>
      <c r="E8" t="s">
        <v>45</v>
      </c>
      <c r="F8" t="s">
        <v>38</v>
      </c>
      <c r="G8">
        <v>306928.59999999998</v>
      </c>
      <c r="H8">
        <v>246387</v>
      </c>
      <c r="I8" t="s">
        <v>18</v>
      </c>
      <c r="J8" t="s">
        <v>19</v>
      </c>
      <c r="K8">
        <v>60541.599999999977</v>
      </c>
      <c r="L8">
        <v>0.19724978382594513</v>
      </c>
    </row>
    <row r="9" spans="1:13" x14ac:dyDescent="0.35">
      <c r="A9" t="s">
        <v>60</v>
      </c>
      <c r="B9" s="1">
        <v>46087</v>
      </c>
      <c r="C9" t="s">
        <v>3383</v>
      </c>
      <c r="D9" t="s">
        <v>53</v>
      </c>
      <c r="E9" t="s">
        <v>24</v>
      </c>
      <c r="F9" t="s">
        <v>38</v>
      </c>
      <c r="G9">
        <v>102839.26</v>
      </c>
      <c r="H9">
        <v>84800.59</v>
      </c>
      <c r="I9" t="s">
        <v>18</v>
      </c>
      <c r="J9" t="s">
        <v>41</v>
      </c>
      <c r="K9">
        <v>18038.669999999998</v>
      </c>
      <c r="L9">
        <v>0.17540645469444255</v>
      </c>
    </row>
    <row r="10" spans="1:13" x14ac:dyDescent="0.35">
      <c r="A10" t="s">
        <v>65</v>
      </c>
      <c r="B10" s="1">
        <v>46098</v>
      </c>
      <c r="C10" t="s">
        <v>67</v>
      </c>
      <c r="D10" t="s">
        <v>36</v>
      </c>
      <c r="E10" t="s">
        <v>45</v>
      </c>
      <c r="F10" t="s">
        <v>15</v>
      </c>
      <c r="G10">
        <v>361969.43</v>
      </c>
      <c r="H10">
        <v>208681.93</v>
      </c>
      <c r="I10" t="s">
        <v>49</v>
      </c>
      <c r="J10" t="s">
        <v>41</v>
      </c>
      <c r="K10">
        <v>153287.5</v>
      </c>
      <c r="L10">
        <v>0.42348189458982766</v>
      </c>
    </row>
    <row r="11" spans="1:13" x14ac:dyDescent="0.35">
      <c r="A11" t="s">
        <v>70</v>
      </c>
      <c r="B11" s="1">
        <v>46126</v>
      </c>
      <c r="C11" t="s">
        <v>12</v>
      </c>
      <c r="D11" t="s">
        <v>36</v>
      </c>
      <c r="E11" t="s">
        <v>37</v>
      </c>
      <c r="F11" t="s">
        <v>74</v>
      </c>
      <c r="G11">
        <v>482620.52</v>
      </c>
      <c r="H11">
        <v>205211.58</v>
      </c>
      <c r="I11" t="s">
        <v>32</v>
      </c>
      <c r="J11" t="s">
        <v>41</v>
      </c>
      <c r="K11">
        <v>277408.94000000006</v>
      </c>
      <c r="L11">
        <v>0.57479723406704719</v>
      </c>
    </row>
    <row r="12" spans="1:13" x14ac:dyDescent="0.35">
      <c r="A12" t="s">
        <v>77</v>
      </c>
      <c r="B12" s="1">
        <v>46203</v>
      </c>
      <c r="C12" t="s">
        <v>12</v>
      </c>
      <c r="D12" t="s">
        <v>53</v>
      </c>
      <c r="E12" t="s">
        <v>45</v>
      </c>
      <c r="F12" t="s">
        <v>79</v>
      </c>
      <c r="G12">
        <v>361384.97</v>
      </c>
      <c r="H12">
        <v>308401.21000000002</v>
      </c>
      <c r="I12" t="s">
        <v>49</v>
      </c>
      <c r="J12" t="s">
        <v>19</v>
      </c>
      <c r="K12">
        <v>52983.759999999951</v>
      </c>
      <c r="L12">
        <v>0.14661307026686793</v>
      </c>
    </row>
    <row r="13" spans="1:13" x14ac:dyDescent="0.35">
      <c r="A13" t="s">
        <v>82</v>
      </c>
      <c r="B13" s="1">
        <v>46157</v>
      </c>
      <c r="C13" t="s">
        <v>12</v>
      </c>
      <c r="D13" t="s">
        <v>36</v>
      </c>
      <c r="E13" t="s">
        <v>14</v>
      </c>
      <c r="F13" t="s">
        <v>46</v>
      </c>
      <c r="G13">
        <v>187082.52</v>
      </c>
      <c r="H13">
        <v>160095.74</v>
      </c>
      <c r="I13" t="s">
        <v>32</v>
      </c>
      <c r="J13" t="s">
        <v>41</v>
      </c>
      <c r="K13">
        <v>26986.78</v>
      </c>
      <c r="L13">
        <v>0.14425067611875231</v>
      </c>
    </row>
    <row r="14" spans="1:13" x14ac:dyDescent="0.35">
      <c r="A14" t="s">
        <v>86</v>
      </c>
      <c r="B14" s="1">
        <v>46087</v>
      </c>
      <c r="C14" t="s">
        <v>12</v>
      </c>
      <c r="D14" t="s">
        <v>23</v>
      </c>
      <c r="E14" t="s">
        <v>45</v>
      </c>
      <c r="F14" t="s">
        <v>46</v>
      </c>
      <c r="G14">
        <v>83953.98</v>
      </c>
      <c r="H14">
        <v>61880.03</v>
      </c>
      <c r="I14" t="s">
        <v>18</v>
      </c>
      <c r="J14" t="s">
        <v>19</v>
      </c>
      <c r="K14">
        <v>22073.949999999997</v>
      </c>
      <c r="L14">
        <v>0.26292916666964444</v>
      </c>
    </row>
    <row r="15" spans="1:13" x14ac:dyDescent="0.35">
      <c r="A15" t="s">
        <v>89</v>
      </c>
      <c r="B15" s="1">
        <v>46190</v>
      </c>
      <c r="C15" t="s">
        <v>67</v>
      </c>
      <c r="D15" t="s">
        <v>53</v>
      </c>
      <c r="E15" t="s">
        <v>37</v>
      </c>
      <c r="F15" t="s">
        <v>25</v>
      </c>
      <c r="G15">
        <v>312644.78000000003</v>
      </c>
      <c r="H15">
        <v>206141.32</v>
      </c>
      <c r="I15" t="s">
        <v>49</v>
      </c>
      <c r="J15" t="s">
        <v>19</v>
      </c>
      <c r="K15">
        <v>106503.46000000002</v>
      </c>
      <c r="L15">
        <v>0.34065324871248454</v>
      </c>
    </row>
    <row r="16" spans="1:13" x14ac:dyDescent="0.35">
      <c r="A16" t="s">
        <v>93</v>
      </c>
      <c r="B16" s="1">
        <v>46148</v>
      </c>
      <c r="C16" t="s">
        <v>3383</v>
      </c>
      <c r="D16" t="s">
        <v>36</v>
      </c>
      <c r="E16" t="s">
        <v>37</v>
      </c>
      <c r="F16" t="s">
        <v>38</v>
      </c>
      <c r="G16">
        <v>470058.61</v>
      </c>
      <c r="H16">
        <v>266919.96999999997</v>
      </c>
      <c r="I16" t="s">
        <v>49</v>
      </c>
      <c r="J16" t="s">
        <v>41</v>
      </c>
      <c r="K16">
        <v>203138.64</v>
      </c>
      <c r="L16">
        <v>0.43215598157004298</v>
      </c>
    </row>
    <row r="17" spans="1:12" x14ac:dyDescent="0.35">
      <c r="A17" t="s">
        <v>97</v>
      </c>
      <c r="B17" s="1">
        <v>46066</v>
      </c>
      <c r="C17" t="s">
        <v>99</v>
      </c>
      <c r="D17" t="s">
        <v>23</v>
      </c>
      <c r="E17" t="s">
        <v>37</v>
      </c>
      <c r="F17" t="s">
        <v>79</v>
      </c>
      <c r="G17">
        <v>260107.37</v>
      </c>
      <c r="H17">
        <v>172887.29</v>
      </c>
      <c r="I17" t="s">
        <v>49</v>
      </c>
      <c r="J17" t="s">
        <v>19</v>
      </c>
      <c r="K17">
        <v>87220.079999999987</v>
      </c>
      <c r="L17">
        <v>0.33532337049888278</v>
      </c>
    </row>
    <row r="18" spans="1:12" x14ac:dyDescent="0.35">
      <c r="A18" t="s">
        <v>102</v>
      </c>
      <c r="B18" s="1">
        <v>46185</v>
      </c>
      <c r="C18" t="s">
        <v>12</v>
      </c>
      <c r="D18" t="s">
        <v>53</v>
      </c>
      <c r="E18" t="s">
        <v>37</v>
      </c>
      <c r="F18" t="s">
        <v>46</v>
      </c>
      <c r="G18">
        <v>52032.78</v>
      </c>
      <c r="H18">
        <v>21343.37</v>
      </c>
      <c r="I18" t="s">
        <v>32</v>
      </c>
      <c r="J18" t="s">
        <v>41</v>
      </c>
      <c r="K18">
        <v>30689.41</v>
      </c>
      <c r="L18">
        <v>0.58980915492118624</v>
      </c>
    </row>
    <row r="19" spans="1:12" x14ac:dyDescent="0.35">
      <c r="A19" t="s">
        <v>106</v>
      </c>
      <c r="B19" s="1">
        <v>46134</v>
      </c>
      <c r="C19" t="s">
        <v>12</v>
      </c>
      <c r="D19" t="s">
        <v>53</v>
      </c>
      <c r="E19" t="s">
        <v>109</v>
      </c>
      <c r="F19" t="s">
        <v>46</v>
      </c>
      <c r="G19">
        <v>301665.83</v>
      </c>
      <c r="H19">
        <v>137745.12</v>
      </c>
      <c r="I19" t="s">
        <v>32</v>
      </c>
      <c r="J19" t="s">
        <v>19</v>
      </c>
      <c r="K19">
        <v>163920.71000000002</v>
      </c>
      <c r="L19">
        <v>0.54338507612877474</v>
      </c>
    </row>
    <row r="20" spans="1:12" x14ac:dyDescent="0.35">
      <c r="A20" t="s">
        <v>112</v>
      </c>
      <c r="B20" s="1">
        <v>46183</v>
      </c>
      <c r="C20" t="s">
        <v>12</v>
      </c>
      <c r="D20" t="s">
        <v>36</v>
      </c>
      <c r="E20" t="s">
        <v>14</v>
      </c>
      <c r="F20" t="s">
        <v>79</v>
      </c>
      <c r="G20">
        <v>483140.55</v>
      </c>
      <c r="H20">
        <v>229738.75</v>
      </c>
      <c r="I20" t="s">
        <v>18</v>
      </c>
      <c r="J20" t="s">
        <v>41</v>
      </c>
      <c r="K20">
        <v>253401.8</v>
      </c>
      <c r="L20">
        <v>0.52448878488878647</v>
      </c>
    </row>
    <row r="21" spans="1:12" x14ac:dyDescent="0.35">
      <c r="A21" t="s">
        <v>116</v>
      </c>
      <c r="B21" s="1">
        <v>46171</v>
      </c>
      <c r="C21" t="s">
        <v>12</v>
      </c>
      <c r="D21" t="s">
        <v>23</v>
      </c>
      <c r="E21" t="s">
        <v>37</v>
      </c>
      <c r="F21" t="s">
        <v>25</v>
      </c>
      <c r="G21">
        <v>468628.03</v>
      </c>
      <c r="H21">
        <v>296066.03000000003</v>
      </c>
      <c r="I21" t="s">
        <v>49</v>
      </c>
      <c r="J21" t="s">
        <v>19</v>
      </c>
      <c r="K21">
        <v>172562</v>
      </c>
      <c r="L21">
        <v>0.36822808059517909</v>
      </c>
    </row>
    <row r="22" spans="1:12" x14ac:dyDescent="0.35">
      <c r="A22" t="s">
        <v>120</v>
      </c>
      <c r="B22" s="1">
        <v>46113</v>
      </c>
      <c r="C22" t="s">
        <v>3383</v>
      </c>
      <c r="D22" t="s">
        <v>53</v>
      </c>
      <c r="E22" t="s">
        <v>37</v>
      </c>
      <c r="F22" t="s">
        <v>15</v>
      </c>
      <c r="G22">
        <v>327723.53999999998</v>
      </c>
      <c r="H22">
        <v>143882.43</v>
      </c>
      <c r="I22" t="s">
        <v>32</v>
      </c>
      <c r="J22" t="s">
        <v>41</v>
      </c>
      <c r="K22">
        <v>183841.11</v>
      </c>
      <c r="L22">
        <v>0.56096400643054201</v>
      </c>
    </row>
    <row r="23" spans="1:12" x14ac:dyDescent="0.35">
      <c r="A23" t="s">
        <v>124</v>
      </c>
      <c r="B23" s="1">
        <v>46092</v>
      </c>
      <c r="C23" t="s">
        <v>12</v>
      </c>
      <c r="D23" t="s">
        <v>23</v>
      </c>
      <c r="E23" t="s">
        <v>45</v>
      </c>
      <c r="F23" t="s">
        <v>46</v>
      </c>
      <c r="G23">
        <v>489435.84</v>
      </c>
      <c r="H23">
        <v>306359.64</v>
      </c>
      <c r="I23" t="s">
        <v>49</v>
      </c>
      <c r="J23" t="s">
        <v>19</v>
      </c>
      <c r="K23">
        <v>183076.2</v>
      </c>
      <c r="L23">
        <v>0.37405556568967241</v>
      </c>
    </row>
    <row r="24" spans="1:12" x14ac:dyDescent="0.35">
      <c r="A24" t="s">
        <v>128</v>
      </c>
      <c r="B24" s="1">
        <v>46027</v>
      </c>
      <c r="C24" t="s">
        <v>3383</v>
      </c>
      <c r="D24" t="s">
        <v>36</v>
      </c>
      <c r="E24" t="s">
        <v>109</v>
      </c>
      <c r="F24" t="s">
        <v>15</v>
      </c>
      <c r="G24">
        <v>343219.61</v>
      </c>
      <c r="H24">
        <v>254141.11</v>
      </c>
      <c r="I24" t="s">
        <v>18</v>
      </c>
      <c r="J24" t="s">
        <v>19</v>
      </c>
      <c r="K24">
        <v>89078.5</v>
      </c>
      <c r="L24">
        <v>0.259537909270394</v>
      </c>
    </row>
    <row r="25" spans="1:12" x14ac:dyDescent="0.35">
      <c r="A25" t="s">
        <v>132</v>
      </c>
      <c r="B25" s="1">
        <v>46122</v>
      </c>
      <c r="C25" t="s">
        <v>12</v>
      </c>
      <c r="D25" t="s">
        <v>53</v>
      </c>
      <c r="E25" t="s">
        <v>134</v>
      </c>
      <c r="F25" t="s">
        <v>15</v>
      </c>
      <c r="G25">
        <v>450586.6</v>
      </c>
      <c r="H25">
        <v>319442.40000000002</v>
      </c>
      <c r="I25" t="s">
        <v>49</v>
      </c>
      <c r="J25" t="s">
        <v>19</v>
      </c>
      <c r="K25">
        <v>131144.19999999995</v>
      </c>
      <c r="L25">
        <v>0.29105215290468017</v>
      </c>
    </row>
    <row r="26" spans="1:12" x14ac:dyDescent="0.35">
      <c r="A26" t="s">
        <v>137</v>
      </c>
      <c r="B26" s="1">
        <v>46159</v>
      </c>
      <c r="C26" t="s">
        <v>67</v>
      </c>
      <c r="D26" t="s">
        <v>36</v>
      </c>
      <c r="E26" t="s">
        <v>134</v>
      </c>
      <c r="F26" t="s">
        <v>74</v>
      </c>
      <c r="G26">
        <v>499692.01</v>
      </c>
      <c r="H26">
        <v>426010.28</v>
      </c>
      <c r="I26" t="s">
        <v>49</v>
      </c>
      <c r="J26" t="s">
        <v>19</v>
      </c>
      <c r="K26">
        <v>73681.729999999981</v>
      </c>
      <c r="L26">
        <v>0.14745428889287218</v>
      </c>
    </row>
    <row r="27" spans="1:12" x14ac:dyDescent="0.35">
      <c r="A27" t="s">
        <v>141</v>
      </c>
      <c r="B27" s="1">
        <v>46124</v>
      </c>
      <c r="C27" t="s">
        <v>12</v>
      </c>
      <c r="D27" t="s">
        <v>23</v>
      </c>
      <c r="E27" t="s">
        <v>37</v>
      </c>
      <c r="F27" t="s">
        <v>79</v>
      </c>
      <c r="G27">
        <v>121506.95</v>
      </c>
      <c r="H27">
        <v>67147.11</v>
      </c>
      <c r="I27" t="s">
        <v>18</v>
      </c>
      <c r="J27" t="s">
        <v>19</v>
      </c>
      <c r="K27">
        <v>54359.839999999997</v>
      </c>
      <c r="L27">
        <v>0.44738049963397153</v>
      </c>
    </row>
    <row r="28" spans="1:12" x14ac:dyDescent="0.35">
      <c r="A28" t="s">
        <v>145</v>
      </c>
      <c r="B28" s="1">
        <v>46128</v>
      </c>
      <c r="C28" t="s">
        <v>12</v>
      </c>
      <c r="D28" t="s">
        <v>23</v>
      </c>
      <c r="E28" t="s">
        <v>134</v>
      </c>
      <c r="F28" t="s">
        <v>15</v>
      </c>
      <c r="G28">
        <v>404737.25</v>
      </c>
      <c r="H28">
        <v>327970.82</v>
      </c>
      <c r="I28" t="s">
        <v>18</v>
      </c>
      <c r="J28" t="s">
        <v>41</v>
      </c>
      <c r="K28">
        <v>76766.429999999993</v>
      </c>
      <c r="L28">
        <v>0.18966979194526817</v>
      </c>
    </row>
    <row r="29" spans="1:12" x14ac:dyDescent="0.35">
      <c r="A29" t="s">
        <v>149</v>
      </c>
      <c r="B29" s="1">
        <v>46139</v>
      </c>
      <c r="C29" t="s">
        <v>12</v>
      </c>
      <c r="D29" t="s">
        <v>36</v>
      </c>
      <c r="E29" t="s">
        <v>37</v>
      </c>
      <c r="F29" t="s">
        <v>79</v>
      </c>
      <c r="G29">
        <v>405502.71999999997</v>
      </c>
      <c r="H29">
        <v>227817.24</v>
      </c>
      <c r="I29" t="s">
        <v>32</v>
      </c>
      <c r="J29" t="s">
        <v>19</v>
      </c>
      <c r="K29">
        <v>177685.47999999998</v>
      </c>
      <c r="L29">
        <v>0.4381856674105663</v>
      </c>
    </row>
    <row r="30" spans="1:12" x14ac:dyDescent="0.35">
      <c r="A30" t="s">
        <v>153</v>
      </c>
      <c r="B30" s="1">
        <v>46073</v>
      </c>
      <c r="C30" t="s">
        <v>99</v>
      </c>
      <c r="D30" t="s">
        <v>23</v>
      </c>
      <c r="E30" t="s">
        <v>37</v>
      </c>
      <c r="F30" t="s">
        <v>25</v>
      </c>
      <c r="G30">
        <v>478719.71</v>
      </c>
      <c r="H30">
        <v>401787.92</v>
      </c>
      <c r="I30" t="s">
        <v>32</v>
      </c>
      <c r="J30" t="s">
        <v>19</v>
      </c>
      <c r="K30">
        <v>76931.790000000037</v>
      </c>
      <c r="L30">
        <v>0.16070320146208317</v>
      </c>
    </row>
    <row r="31" spans="1:12" x14ac:dyDescent="0.35">
      <c r="A31" t="s">
        <v>157</v>
      </c>
      <c r="B31" s="1">
        <v>46185</v>
      </c>
      <c r="C31" t="s">
        <v>12</v>
      </c>
      <c r="D31" t="s">
        <v>23</v>
      </c>
      <c r="E31" t="s">
        <v>109</v>
      </c>
      <c r="F31" t="s">
        <v>46</v>
      </c>
      <c r="G31">
        <v>411931.96</v>
      </c>
      <c r="H31">
        <v>168530.75</v>
      </c>
      <c r="I31" t="s">
        <v>18</v>
      </c>
      <c r="J31" t="s">
        <v>41</v>
      </c>
      <c r="K31">
        <v>243401.21000000002</v>
      </c>
      <c r="L31">
        <v>0.59087721671316784</v>
      </c>
    </row>
    <row r="32" spans="1:12" x14ac:dyDescent="0.35">
      <c r="A32" t="s">
        <v>161</v>
      </c>
      <c r="B32" s="1">
        <v>46187</v>
      </c>
      <c r="C32" t="s">
        <v>67</v>
      </c>
      <c r="D32" t="s">
        <v>53</v>
      </c>
      <c r="E32" t="s">
        <v>109</v>
      </c>
      <c r="F32" t="s">
        <v>79</v>
      </c>
      <c r="G32">
        <v>440028.14</v>
      </c>
      <c r="H32">
        <v>357522.59</v>
      </c>
      <c r="I32" t="s">
        <v>32</v>
      </c>
      <c r="J32" t="s">
        <v>41</v>
      </c>
      <c r="K32">
        <v>82505.549999999988</v>
      </c>
      <c r="L32">
        <v>0.18750062211930352</v>
      </c>
    </row>
    <row r="33" spans="1:12" x14ac:dyDescent="0.35">
      <c r="A33" t="s">
        <v>165</v>
      </c>
      <c r="B33" s="1">
        <v>46161</v>
      </c>
      <c r="C33" t="s">
        <v>12</v>
      </c>
      <c r="D33" t="s">
        <v>53</v>
      </c>
      <c r="E33" t="s">
        <v>24</v>
      </c>
      <c r="F33" t="s">
        <v>38</v>
      </c>
      <c r="G33">
        <v>100955.29</v>
      </c>
      <c r="H33">
        <v>62427.56</v>
      </c>
      <c r="I33" t="s">
        <v>32</v>
      </c>
      <c r="J33" t="s">
        <v>19</v>
      </c>
      <c r="K33">
        <v>38527.729999999996</v>
      </c>
      <c r="L33">
        <v>0.38163161137965129</v>
      </c>
    </row>
    <row r="34" spans="1:12" x14ac:dyDescent="0.35">
      <c r="A34" t="s">
        <v>169</v>
      </c>
      <c r="B34" s="1">
        <v>46102</v>
      </c>
      <c r="C34" t="s">
        <v>52</v>
      </c>
      <c r="D34" t="s">
        <v>23</v>
      </c>
      <c r="E34" t="s">
        <v>14</v>
      </c>
      <c r="F34" t="s">
        <v>25</v>
      </c>
      <c r="G34">
        <v>80794.559999999998</v>
      </c>
      <c r="H34">
        <v>61781.24</v>
      </c>
      <c r="I34" t="s">
        <v>32</v>
      </c>
      <c r="J34" t="s">
        <v>19</v>
      </c>
      <c r="K34">
        <v>19013.32</v>
      </c>
      <c r="L34">
        <v>0.23532921028346462</v>
      </c>
    </row>
    <row r="35" spans="1:12" x14ac:dyDescent="0.35">
      <c r="A35" t="s">
        <v>173</v>
      </c>
      <c r="B35" s="1">
        <v>46094</v>
      </c>
      <c r="C35" t="s">
        <v>3383</v>
      </c>
      <c r="D35" t="s">
        <v>53</v>
      </c>
      <c r="E35" t="s">
        <v>14</v>
      </c>
      <c r="F35" t="s">
        <v>46</v>
      </c>
      <c r="G35">
        <v>400252.39</v>
      </c>
      <c r="H35">
        <v>246563.61</v>
      </c>
      <c r="I35" t="s">
        <v>32</v>
      </c>
      <c r="J35" t="s">
        <v>41</v>
      </c>
      <c r="K35">
        <v>153688.78000000003</v>
      </c>
      <c r="L35">
        <v>0.38397966842871323</v>
      </c>
    </row>
    <row r="36" spans="1:12" x14ac:dyDescent="0.35">
      <c r="A36" t="s">
        <v>177</v>
      </c>
      <c r="B36" s="1">
        <v>46028</v>
      </c>
      <c r="C36" t="s">
        <v>67</v>
      </c>
      <c r="D36" t="s">
        <v>23</v>
      </c>
      <c r="E36" t="s">
        <v>37</v>
      </c>
      <c r="F36" t="s">
        <v>46</v>
      </c>
      <c r="G36">
        <v>477503.18</v>
      </c>
      <c r="H36">
        <v>224084.48000000001</v>
      </c>
      <c r="I36" t="s">
        <v>18</v>
      </c>
      <c r="J36" t="s">
        <v>41</v>
      </c>
      <c r="K36">
        <v>253418.69999999998</v>
      </c>
      <c r="L36">
        <v>0.53071625617236728</v>
      </c>
    </row>
    <row r="37" spans="1:12" x14ac:dyDescent="0.35">
      <c r="A37" t="s">
        <v>181</v>
      </c>
      <c r="B37" s="1">
        <v>46030</v>
      </c>
      <c r="C37" t="s">
        <v>12</v>
      </c>
      <c r="D37" t="s">
        <v>36</v>
      </c>
      <c r="E37" t="s">
        <v>24</v>
      </c>
      <c r="F37" t="s">
        <v>74</v>
      </c>
      <c r="G37">
        <v>185582.6</v>
      </c>
      <c r="H37">
        <v>108762.74</v>
      </c>
      <c r="I37" t="s">
        <v>49</v>
      </c>
      <c r="J37" t="s">
        <v>41</v>
      </c>
      <c r="K37">
        <v>76819.86</v>
      </c>
      <c r="L37">
        <v>0.41393891453185805</v>
      </c>
    </row>
    <row r="38" spans="1:12" x14ac:dyDescent="0.35">
      <c r="A38" t="s">
        <v>185</v>
      </c>
      <c r="B38" s="1">
        <v>46095</v>
      </c>
      <c r="C38" t="s">
        <v>12</v>
      </c>
      <c r="D38" t="s">
        <v>36</v>
      </c>
      <c r="E38" t="s">
        <v>14</v>
      </c>
      <c r="F38" t="s">
        <v>15</v>
      </c>
      <c r="G38">
        <v>413265.62</v>
      </c>
      <c r="H38">
        <v>276015.3</v>
      </c>
      <c r="I38" t="s">
        <v>18</v>
      </c>
      <c r="J38" t="s">
        <v>19</v>
      </c>
      <c r="K38">
        <v>137250.32</v>
      </c>
      <c r="L38">
        <v>0.3321116331912633</v>
      </c>
    </row>
    <row r="39" spans="1:12" x14ac:dyDescent="0.35">
      <c r="A39" t="s">
        <v>189</v>
      </c>
      <c r="B39" s="1">
        <v>46159</v>
      </c>
      <c r="C39" t="s">
        <v>12</v>
      </c>
      <c r="D39" t="s">
        <v>23</v>
      </c>
      <c r="E39" t="s">
        <v>109</v>
      </c>
      <c r="F39" t="s">
        <v>38</v>
      </c>
      <c r="G39">
        <v>418782.26</v>
      </c>
      <c r="H39">
        <v>264225.88</v>
      </c>
      <c r="I39" t="s">
        <v>32</v>
      </c>
      <c r="J39" t="s">
        <v>41</v>
      </c>
      <c r="K39">
        <v>154556.38</v>
      </c>
      <c r="L39">
        <v>0.36906143063462143</v>
      </c>
    </row>
    <row r="40" spans="1:12" x14ac:dyDescent="0.35">
      <c r="A40" t="s">
        <v>193</v>
      </c>
      <c r="B40" s="1">
        <v>46092</v>
      </c>
      <c r="C40" t="s">
        <v>12</v>
      </c>
      <c r="D40" t="s">
        <v>36</v>
      </c>
      <c r="E40" t="s">
        <v>24</v>
      </c>
      <c r="F40" t="s">
        <v>46</v>
      </c>
      <c r="G40">
        <v>310371.40000000002</v>
      </c>
      <c r="H40">
        <v>275134.44</v>
      </c>
      <c r="I40" t="s">
        <v>49</v>
      </c>
      <c r="J40" t="s">
        <v>19</v>
      </c>
      <c r="K40">
        <v>35236.960000000021</v>
      </c>
      <c r="L40">
        <v>0.11353159472812256</v>
      </c>
    </row>
    <row r="41" spans="1:12" x14ac:dyDescent="0.35">
      <c r="A41" t="s">
        <v>196</v>
      </c>
      <c r="B41" s="1">
        <v>46129</v>
      </c>
      <c r="C41" t="s">
        <v>67</v>
      </c>
      <c r="D41" t="s">
        <v>53</v>
      </c>
      <c r="E41" t="s">
        <v>45</v>
      </c>
      <c r="F41" t="s">
        <v>46</v>
      </c>
      <c r="G41">
        <v>292546.58</v>
      </c>
      <c r="H41">
        <v>260763.03</v>
      </c>
      <c r="I41" t="s">
        <v>49</v>
      </c>
      <c r="J41" t="s">
        <v>19</v>
      </c>
      <c r="K41">
        <v>31783.550000000017</v>
      </c>
      <c r="L41">
        <v>0.10864440801187973</v>
      </c>
    </row>
    <row r="42" spans="1:12" x14ac:dyDescent="0.35">
      <c r="A42" t="s">
        <v>200</v>
      </c>
      <c r="B42" s="1">
        <v>46153</v>
      </c>
      <c r="C42" t="s">
        <v>12</v>
      </c>
      <c r="D42" t="s">
        <v>36</v>
      </c>
      <c r="E42" t="s">
        <v>24</v>
      </c>
      <c r="F42" t="s">
        <v>74</v>
      </c>
      <c r="G42">
        <v>396944.19</v>
      </c>
      <c r="H42">
        <v>294949.71000000002</v>
      </c>
      <c r="I42" t="s">
        <v>18</v>
      </c>
      <c r="J42" t="s">
        <v>19</v>
      </c>
      <c r="K42">
        <v>101994.47999999998</v>
      </c>
      <c r="L42">
        <v>0.25694916960492603</v>
      </c>
    </row>
    <row r="43" spans="1:12" x14ac:dyDescent="0.35">
      <c r="A43" t="s">
        <v>204</v>
      </c>
      <c r="B43" s="1">
        <v>46071</v>
      </c>
      <c r="C43" t="s">
        <v>12</v>
      </c>
      <c r="D43" t="s">
        <v>53</v>
      </c>
      <c r="E43" t="s">
        <v>14</v>
      </c>
      <c r="F43" t="s">
        <v>38</v>
      </c>
      <c r="G43">
        <v>444976.2</v>
      </c>
      <c r="H43">
        <v>314883.61</v>
      </c>
      <c r="I43" t="s">
        <v>32</v>
      </c>
      <c r="J43" t="s">
        <v>19</v>
      </c>
      <c r="K43">
        <v>130092.59000000003</v>
      </c>
      <c r="L43">
        <v>0.29235853513064297</v>
      </c>
    </row>
    <row r="44" spans="1:12" x14ac:dyDescent="0.35">
      <c r="A44" t="s">
        <v>208</v>
      </c>
      <c r="B44" s="1">
        <v>46101</v>
      </c>
      <c r="C44" t="s">
        <v>12</v>
      </c>
      <c r="D44" t="s">
        <v>53</v>
      </c>
      <c r="E44" t="s">
        <v>109</v>
      </c>
      <c r="F44" t="s">
        <v>25</v>
      </c>
      <c r="G44">
        <v>496150.81</v>
      </c>
      <c r="H44">
        <v>343873.48</v>
      </c>
      <c r="I44" t="s">
        <v>49</v>
      </c>
      <c r="J44" t="s">
        <v>41</v>
      </c>
      <c r="K44">
        <v>152277.33000000002</v>
      </c>
      <c r="L44">
        <v>0.30691742698152608</v>
      </c>
    </row>
    <row r="45" spans="1:12" x14ac:dyDescent="0.35">
      <c r="A45" t="s">
        <v>212</v>
      </c>
      <c r="B45" s="1">
        <v>46079</v>
      </c>
      <c r="C45" t="s">
        <v>12</v>
      </c>
      <c r="D45" t="s">
        <v>23</v>
      </c>
      <c r="E45" t="s">
        <v>134</v>
      </c>
      <c r="F45" t="s">
        <v>38</v>
      </c>
      <c r="G45">
        <v>124157.72</v>
      </c>
      <c r="H45">
        <v>56287.76</v>
      </c>
      <c r="I45" t="s">
        <v>32</v>
      </c>
      <c r="J45" t="s">
        <v>19</v>
      </c>
      <c r="K45">
        <v>67869.959999999992</v>
      </c>
      <c r="L45">
        <v>0.54664309235060049</v>
      </c>
    </row>
    <row r="46" spans="1:12" x14ac:dyDescent="0.35">
      <c r="A46" t="s">
        <v>216</v>
      </c>
      <c r="B46" s="1">
        <v>46056</v>
      </c>
      <c r="C46" t="s">
        <v>12</v>
      </c>
      <c r="D46" t="s">
        <v>36</v>
      </c>
      <c r="E46" t="s">
        <v>134</v>
      </c>
      <c r="F46" t="s">
        <v>46</v>
      </c>
      <c r="G46">
        <v>51309.4</v>
      </c>
      <c r="H46">
        <v>27019.84</v>
      </c>
      <c r="I46" t="s">
        <v>18</v>
      </c>
      <c r="J46" t="s">
        <v>41</v>
      </c>
      <c r="K46">
        <v>24289.56</v>
      </c>
      <c r="L46">
        <v>0.47339395900166442</v>
      </c>
    </row>
    <row r="47" spans="1:12" x14ac:dyDescent="0.35">
      <c r="A47" t="s">
        <v>220</v>
      </c>
      <c r="B47" s="1">
        <v>46194</v>
      </c>
      <c r="C47" t="s">
        <v>12</v>
      </c>
      <c r="D47" t="s">
        <v>36</v>
      </c>
      <c r="E47" t="s">
        <v>14</v>
      </c>
      <c r="F47" t="s">
        <v>38</v>
      </c>
      <c r="G47">
        <v>67955.89</v>
      </c>
      <c r="H47">
        <v>52458.65</v>
      </c>
      <c r="I47" t="s">
        <v>49</v>
      </c>
      <c r="J47" t="s">
        <v>19</v>
      </c>
      <c r="K47">
        <v>15497.239999999998</v>
      </c>
      <c r="L47">
        <v>0.22804851794303627</v>
      </c>
    </row>
    <row r="48" spans="1:12" x14ac:dyDescent="0.35">
      <c r="A48" t="s">
        <v>224</v>
      </c>
      <c r="B48" s="1">
        <v>46094</v>
      </c>
      <c r="C48" t="s">
        <v>3383</v>
      </c>
      <c r="D48" t="s">
        <v>53</v>
      </c>
      <c r="E48" t="s">
        <v>109</v>
      </c>
      <c r="F48" t="s">
        <v>46</v>
      </c>
      <c r="G48">
        <v>73568.86</v>
      </c>
      <c r="H48">
        <v>36806.019999999997</v>
      </c>
      <c r="I48" t="s">
        <v>49</v>
      </c>
      <c r="J48" t="s">
        <v>19</v>
      </c>
      <c r="K48">
        <v>36762.840000000004</v>
      </c>
      <c r="L48">
        <v>0.49970653344363369</v>
      </c>
    </row>
    <row r="49" spans="1:12" x14ac:dyDescent="0.35">
      <c r="A49" t="s">
        <v>228</v>
      </c>
      <c r="B49" s="1">
        <v>46044</v>
      </c>
      <c r="C49" t="s">
        <v>67</v>
      </c>
      <c r="D49" t="s">
        <v>53</v>
      </c>
      <c r="E49" t="s">
        <v>24</v>
      </c>
      <c r="F49" t="s">
        <v>38</v>
      </c>
      <c r="G49">
        <v>375406.75</v>
      </c>
      <c r="H49">
        <v>200141.72</v>
      </c>
      <c r="I49" t="s">
        <v>18</v>
      </c>
      <c r="J49" t="s">
        <v>41</v>
      </c>
      <c r="K49">
        <v>175265.03</v>
      </c>
      <c r="L49">
        <v>0.46686701824088139</v>
      </c>
    </row>
    <row r="50" spans="1:12" x14ac:dyDescent="0.35">
      <c r="A50" t="s">
        <v>232</v>
      </c>
      <c r="B50" s="1">
        <v>46049</v>
      </c>
      <c r="C50" t="s">
        <v>67</v>
      </c>
      <c r="D50" t="s">
        <v>23</v>
      </c>
      <c r="E50" t="s">
        <v>37</v>
      </c>
      <c r="F50" t="s">
        <v>25</v>
      </c>
      <c r="G50">
        <v>211612.99</v>
      </c>
      <c r="H50">
        <v>175165.36</v>
      </c>
      <c r="I50" t="s">
        <v>18</v>
      </c>
      <c r="J50" t="s">
        <v>41</v>
      </c>
      <c r="K50">
        <v>36447.630000000005</v>
      </c>
      <c r="L50">
        <v>0.17223720528687775</v>
      </c>
    </row>
    <row r="51" spans="1:12" x14ac:dyDescent="0.35">
      <c r="A51" t="s">
        <v>236</v>
      </c>
      <c r="B51" s="1">
        <v>46070</v>
      </c>
      <c r="C51" t="s">
        <v>99</v>
      </c>
      <c r="D51" t="s">
        <v>23</v>
      </c>
      <c r="E51" t="s">
        <v>45</v>
      </c>
      <c r="F51" t="s">
        <v>25</v>
      </c>
      <c r="G51">
        <v>181315.5</v>
      </c>
      <c r="H51">
        <v>74264.27</v>
      </c>
      <c r="I51" t="s">
        <v>32</v>
      </c>
      <c r="J51" t="s">
        <v>19</v>
      </c>
      <c r="K51">
        <v>107051.23</v>
      </c>
      <c r="L51">
        <v>0.59041411241730568</v>
      </c>
    </row>
    <row r="52" spans="1:12" x14ac:dyDescent="0.35">
      <c r="A52" t="s">
        <v>240</v>
      </c>
      <c r="B52" s="1">
        <v>46186</v>
      </c>
      <c r="C52" t="s">
        <v>12</v>
      </c>
      <c r="D52" t="s">
        <v>36</v>
      </c>
      <c r="E52" t="s">
        <v>37</v>
      </c>
      <c r="F52" t="s">
        <v>25</v>
      </c>
      <c r="G52">
        <v>258857.5</v>
      </c>
      <c r="H52">
        <v>216660.36</v>
      </c>
      <c r="I52" t="s">
        <v>18</v>
      </c>
      <c r="J52" t="s">
        <v>41</v>
      </c>
      <c r="K52">
        <v>42197.140000000014</v>
      </c>
      <c r="L52">
        <v>0.16301300908801181</v>
      </c>
    </row>
    <row r="53" spans="1:12" x14ac:dyDescent="0.35">
      <c r="A53" t="s">
        <v>244</v>
      </c>
      <c r="B53" s="1">
        <v>46132</v>
      </c>
      <c r="C53" t="s">
        <v>67</v>
      </c>
      <c r="D53" t="s">
        <v>53</v>
      </c>
      <c r="E53" t="s">
        <v>37</v>
      </c>
      <c r="F53" t="s">
        <v>79</v>
      </c>
      <c r="G53">
        <v>386341.16</v>
      </c>
      <c r="H53">
        <v>206972.68</v>
      </c>
      <c r="I53" t="s">
        <v>18</v>
      </c>
      <c r="J53" t="s">
        <v>41</v>
      </c>
      <c r="K53">
        <v>179368.47999999998</v>
      </c>
      <c r="L53">
        <v>0.46427483936736119</v>
      </c>
    </row>
    <row r="54" spans="1:12" x14ac:dyDescent="0.35">
      <c r="A54" t="s">
        <v>248</v>
      </c>
      <c r="B54" s="1">
        <v>46049</v>
      </c>
      <c r="C54" t="s">
        <v>12</v>
      </c>
      <c r="D54" t="s">
        <v>23</v>
      </c>
      <c r="E54" t="s">
        <v>45</v>
      </c>
      <c r="F54" t="s">
        <v>15</v>
      </c>
      <c r="G54">
        <v>201213.38</v>
      </c>
      <c r="H54">
        <v>109072.27</v>
      </c>
      <c r="I54" t="s">
        <v>49</v>
      </c>
      <c r="J54" t="s">
        <v>19</v>
      </c>
      <c r="K54">
        <v>92141.11</v>
      </c>
      <c r="L54">
        <v>0.45792735055690631</v>
      </c>
    </row>
    <row r="55" spans="1:12" x14ac:dyDescent="0.35">
      <c r="A55" t="s">
        <v>252</v>
      </c>
      <c r="B55" s="1">
        <v>46154</v>
      </c>
      <c r="C55" t="s">
        <v>52</v>
      </c>
      <c r="D55" t="s">
        <v>23</v>
      </c>
      <c r="E55" t="s">
        <v>134</v>
      </c>
      <c r="F55" t="s">
        <v>15</v>
      </c>
      <c r="G55">
        <v>192768.27</v>
      </c>
      <c r="H55">
        <v>111583.3</v>
      </c>
      <c r="I55" t="s">
        <v>18</v>
      </c>
      <c r="J55" t="s">
        <v>19</v>
      </c>
      <c r="K55">
        <v>81184.969999999987</v>
      </c>
      <c r="L55">
        <v>0.42115318044821376</v>
      </c>
    </row>
    <row r="56" spans="1:12" x14ac:dyDescent="0.35">
      <c r="A56" t="s">
        <v>256</v>
      </c>
      <c r="B56" s="1">
        <v>46170</v>
      </c>
      <c r="C56" t="s">
        <v>99</v>
      </c>
      <c r="D56" t="s">
        <v>53</v>
      </c>
      <c r="E56" t="s">
        <v>45</v>
      </c>
      <c r="F56" t="s">
        <v>79</v>
      </c>
      <c r="G56">
        <v>265682.98</v>
      </c>
      <c r="H56">
        <v>146319.5</v>
      </c>
      <c r="I56" t="s">
        <v>18</v>
      </c>
      <c r="J56" t="s">
        <v>41</v>
      </c>
      <c r="K56">
        <v>119363.47999999998</v>
      </c>
      <c r="L56">
        <v>0.44927032962367403</v>
      </c>
    </row>
    <row r="57" spans="1:12" x14ac:dyDescent="0.35">
      <c r="A57" t="s">
        <v>260</v>
      </c>
      <c r="B57" s="1">
        <v>46109</v>
      </c>
      <c r="C57" t="s">
        <v>67</v>
      </c>
      <c r="D57" t="s">
        <v>23</v>
      </c>
      <c r="E57" t="s">
        <v>109</v>
      </c>
      <c r="F57" t="s">
        <v>15</v>
      </c>
      <c r="G57">
        <v>62180.55</v>
      </c>
      <c r="H57">
        <v>29816.43</v>
      </c>
      <c r="I57" t="s">
        <v>18</v>
      </c>
      <c r="J57" t="s">
        <v>41</v>
      </c>
      <c r="K57">
        <v>32364.120000000003</v>
      </c>
      <c r="L57">
        <v>0.52048622921476251</v>
      </c>
    </row>
    <row r="58" spans="1:12" x14ac:dyDescent="0.35">
      <c r="A58" t="s">
        <v>264</v>
      </c>
      <c r="B58" s="1">
        <v>46075</v>
      </c>
      <c r="C58" t="s">
        <v>12</v>
      </c>
      <c r="D58" t="s">
        <v>36</v>
      </c>
      <c r="E58" t="s">
        <v>109</v>
      </c>
      <c r="F58" t="s">
        <v>79</v>
      </c>
      <c r="G58">
        <v>228877.57</v>
      </c>
      <c r="H58">
        <v>196899.71</v>
      </c>
      <c r="I58" t="s">
        <v>18</v>
      </c>
      <c r="J58" t="s">
        <v>19</v>
      </c>
      <c r="K58">
        <v>31977.860000000015</v>
      </c>
      <c r="L58">
        <v>0.13971600624735755</v>
      </c>
    </row>
    <row r="59" spans="1:12" x14ac:dyDescent="0.35">
      <c r="A59" t="s">
        <v>268</v>
      </c>
      <c r="B59" s="1">
        <v>46027</v>
      </c>
      <c r="C59" t="s">
        <v>99</v>
      </c>
      <c r="D59" t="s">
        <v>53</v>
      </c>
      <c r="E59" t="s">
        <v>37</v>
      </c>
      <c r="F59" t="s">
        <v>74</v>
      </c>
      <c r="G59">
        <v>208378.1</v>
      </c>
      <c r="H59">
        <v>169874.61</v>
      </c>
      <c r="I59" t="s">
        <v>18</v>
      </c>
      <c r="J59" t="s">
        <v>19</v>
      </c>
      <c r="K59">
        <v>38503.49000000002</v>
      </c>
      <c r="L59">
        <v>0.18477704710811749</v>
      </c>
    </row>
    <row r="60" spans="1:12" x14ac:dyDescent="0.35">
      <c r="A60" t="s">
        <v>271</v>
      </c>
      <c r="B60" s="1">
        <v>46079</v>
      </c>
      <c r="C60" t="s">
        <v>99</v>
      </c>
      <c r="D60" t="s">
        <v>23</v>
      </c>
      <c r="E60" t="s">
        <v>109</v>
      </c>
      <c r="F60" t="s">
        <v>79</v>
      </c>
      <c r="G60">
        <v>186742.49</v>
      </c>
      <c r="H60">
        <v>160428.26999999999</v>
      </c>
      <c r="I60" t="s">
        <v>49</v>
      </c>
      <c r="J60" t="s">
        <v>19</v>
      </c>
      <c r="K60">
        <v>26314.22</v>
      </c>
      <c r="L60">
        <v>0.1409117978452574</v>
      </c>
    </row>
    <row r="61" spans="1:12" x14ac:dyDescent="0.35">
      <c r="A61" t="s">
        <v>274</v>
      </c>
      <c r="B61" s="1">
        <v>46069</v>
      </c>
      <c r="C61" t="s">
        <v>99</v>
      </c>
      <c r="D61" t="s">
        <v>23</v>
      </c>
      <c r="E61" t="s">
        <v>24</v>
      </c>
      <c r="F61" t="s">
        <v>15</v>
      </c>
      <c r="G61">
        <v>182677.24</v>
      </c>
      <c r="H61">
        <v>130776.61</v>
      </c>
      <c r="I61" t="s">
        <v>49</v>
      </c>
      <c r="J61" t="s">
        <v>41</v>
      </c>
      <c r="K61">
        <v>51900.62999999999</v>
      </c>
      <c r="L61">
        <v>0.28411109123391615</v>
      </c>
    </row>
    <row r="62" spans="1:12" x14ac:dyDescent="0.35">
      <c r="A62" t="s">
        <v>278</v>
      </c>
      <c r="B62" s="1">
        <v>46098</v>
      </c>
      <c r="C62" t="s">
        <v>67</v>
      </c>
      <c r="D62" t="s">
        <v>36</v>
      </c>
      <c r="E62" t="s">
        <v>14</v>
      </c>
      <c r="F62" t="s">
        <v>38</v>
      </c>
      <c r="G62">
        <v>66331.009999999995</v>
      </c>
      <c r="H62">
        <v>42666.59</v>
      </c>
      <c r="I62" t="s">
        <v>49</v>
      </c>
      <c r="J62" t="s">
        <v>19</v>
      </c>
      <c r="K62">
        <v>23664.42</v>
      </c>
      <c r="L62">
        <v>0.356762545904246</v>
      </c>
    </row>
    <row r="63" spans="1:12" x14ac:dyDescent="0.35">
      <c r="A63" t="s">
        <v>282</v>
      </c>
      <c r="B63" s="1">
        <v>46186</v>
      </c>
      <c r="C63" t="s">
        <v>12</v>
      </c>
      <c r="D63" t="s">
        <v>23</v>
      </c>
      <c r="E63" t="s">
        <v>14</v>
      </c>
      <c r="F63" t="s">
        <v>25</v>
      </c>
      <c r="G63">
        <v>298871.8</v>
      </c>
      <c r="H63">
        <v>144770.91</v>
      </c>
      <c r="I63" t="s">
        <v>49</v>
      </c>
      <c r="J63" t="s">
        <v>41</v>
      </c>
      <c r="K63">
        <v>154100.88999999998</v>
      </c>
      <c r="L63">
        <v>0.51560866565530772</v>
      </c>
    </row>
    <row r="64" spans="1:12" x14ac:dyDescent="0.35">
      <c r="A64" t="s">
        <v>285</v>
      </c>
      <c r="B64" s="1">
        <v>46086</v>
      </c>
      <c r="C64" t="s">
        <v>52</v>
      </c>
      <c r="D64" t="s">
        <v>53</v>
      </c>
      <c r="E64" t="s">
        <v>109</v>
      </c>
      <c r="F64" t="s">
        <v>46</v>
      </c>
      <c r="G64">
        <v>229265.26</v>
      </c>
      <c r="H64">
        <v>217496.12</v>
      </c>
      <c r="I64" t="s">
        <v>18</v>
      </c>
      <c r="J64" t="s">
        <v>41</v>
      </c>
      <c r="K64">
        <v>11769.140000000014</v>
      </c>
      <c r="L64">
        <v>5.1334162009543063E-2</v>
      </c>
    </row>
    <row r="65" spans="1:12" x14ac:dyDescent="0.35">
      <c r="A65" t="s">
        <v>289</v>
      </c>
      <c r="B65" s="1">
        <v>46163</v>
      </c>
      <c r="C65" t="s">
        <v>12</v>
      </c>
      <c r="D65" t="s">
        <v>36</v>
      </c>
      <c r="E65" t="s">
        <v>14</v>
      </c>
      <c r="F65" t="s">
        <v>74</v>
      </c>
      <c r="G65">
        <v>470795.35</v>
      </c>
      <c r="H65">
        <v>250052.87</v>
      </c>
      <c r="I65" t="s">
        <v>32</v>
      </c>
      <c r="J65" t="s">
        <v>19</v>
      </c>
      <c r="K65">
        <v>220742.47999999998</v>
      </c>
      <c r="L65">
        <v>0.4688714109007236</v>
      </c>
    </row>
    <row r="66" spans="1:12" x14ac:dyDescent="0.35">
      <c r="A66" t="s">
        <v>293</v>
      </c>
      <c r="B66" s="1">
        <v>46046</v>
      </c>
      <c r="C66" t="s">
        <v>12</v>
      </c>
      <c r="D66" t="s">
        <v>23</v>
      </c>
      <c r="E66" t="s">
        <v>134</v>
      </c>
      <c r="F66" t="s">
        <v>46</v>
      </c>
      <c r="G66">
        <v>482831.58</v>
      </c>
      <c r="H66">
        <v>384402.04</v>
      </c>
      <c r="I66" t="s">
        <v>49</v>
      </c>
      <c r="J66" t="s">
        <v>19</v>
      </c>
      <c r="K66">
        <v>98429.540000000037</v>
      </c>
      <c r="L66">
        <v>0.20385895222512171</v>
      </c>
    </row>
    <row r="67" spans="1:12" x14ac:dyDescent="0.35">
      <c r="A67" t="s">
        <v>297</v>
      </c>
      <c r="B67" s="1">
        <v>46032</v>
      </c>
      <c r="C67" t="s">
        <v>67</v>
      </c>
      <c r="D67" t="s">
        <v>23</v>
      </c>
      <c r="E67" t="s">
        <v>134</v>
      </c>
      <c r="F67" t="s">
        <v>46</v>
      </c>
      <c r="G67">
        <v>376513.27</v>
      </c>
      <c r="H67">
        <v>334623.93</v>
      </c>
      <c r="I67" t="s">
        <v>49</v>
      </c>
      <c r="J67" t="s">
        <v>19</v>
      </c>
      <c r="K67">
        <v>41889.340000000026</v>
      </c>
      <c r="L67">
        <v>0.11125594590597039</v>
      </c>
    </row>
    <row r="68" spans="1:12" x14ac:dyDescent="0.35">
      <c r="A68" t="s">
        <v>301</v>
      </c>
      <c r="B68" s="1">
        <v>46051</v>
      </c>
      <c r="C68" t="s">
        <v>99</v>
      </c>
      <c r="D68" t="s">
        <v>23</v>
      </c>
      <c r="E68" t="s">
        <v>109</v>
      </c>
      <c r="F68" t="s">
        <v>46</v>
      </c>
      <c r="G68">
        <v>487725.33</v>
      </c>
      <c r="H68">
        <v>457200.05</v>
      </c>
      <c r="I68" t="s">
        <v>32</v>
      </c>
      <c r="J68" t="s">
        <v>41</v>
      </c>
      <c r="K68">
        <v>30525.280000000028</v>
      </c>
      <c r="L68">
        <v>6.2587030286083409E-2</v>
      </c>
    </row>
    <row r="69" spans="1:12" x14ac:dyDescent="0.35">
      <c r="A69" t="s">
        <v>305</v>
      </c>
      <c r="B69" s="1">
        <v>46094</v>
      </c>
      <c r="C69" t="s">
        <v>99</v>
      </c>
      <c r="D69" t="s">
        <v>23</v>
      </c>
      <c r="E69" t="s">
        <v>109</v>
      </c>
      <c r="F69" t="s">
        <v>79</v>
      </c>
      <c r="G69">
        <v>280832.71000000002</v>
      </c>
      <c r="H69">
        <v>184466.76</v>
      </c>
      <c r="I69" t="s">
        <v>32</v>
      </c>
      <c r="J69" t="s">
        <v>41</v>
      </c>
      <c r="K69">
        <v>96365.950000000012</v>
      </c>
      <c r="L69">
        <v>0.34314361030095109</v>
      </c>
    </row>
    <row r="70" spans="1:12" x14ac:dyDescent="0.35">
      <c r="A70" t="s">
        <v>308</v>
      </c>
      <c r="B70" s="1">
        <v>46162</v>
      </c>
      <c r="C70" t="s">
        <v>3383</v>
      </c>
      <c r="D70" t="s">
        <v>23</v>
      </c>
      <c r="E70" t="s">
        <v>14</v>
      </c>
      <c r="F70" t="s">
        <v>25</v>
      </c>
      <c r="G70">
        <v>410065.81</v>
      </c>
      <c r="H70">
        <v>199532.73</v>
      </c>
      <c r="I70" t="s">
        <v>49</v>
      </c>
      <c r="J70" t="s">
        <v>41</v>
      </c>
      <c r="K70">
        <v>210533.08</v>
      </c>
      <c r="L70">
        <v>0.51341290804029716</v>
      </c>
    </row>
    <row r="71" spans="1:12" x14ac:dyDescent="0.35">
      <c r="A71" t="s">
        <v>312</v>
      </c>
      <c r="B71" s="1">
        <v>46041</v>
      </c>
      <c r="C71" t="s">
        <v>3383</v>
      </c>
      <c r="D71" t="s">
        <v>23</v>
      </c>
      <c r="E71" t="s">
        <v>134</v>
      </c>
      <c r="F71" t="s">
        <v>15</v>
      </c>
      <c r="G71">
        <v>413403.59</v>
      </c>
      <c r="H71">
        <v>304778.18</v>
      </c>
      <c r="I71" t="s">
        <v>18</v>
      </c>
      <c r="J71" t="s">
        <v>41</v>
      </c>
      <c r="K71">
        <v>108625.41000000003</v>
      </c>
      <c r="L71">
        <v>0.26275874866011695</v>
      </c>
    </row>
    <row r="72" spans="1:12" x14ac:dyDescent="0.35">
      <c r="A72" t="s">
        <v>316</v>
      </c>
      <c r="B72" s="1">
        <v>46100</v>
      </c>
      <c r="C72" t="s">
        <v>12</v>
      </c>
      <c r="D72" t="s">
        <v>53</v>
      </c>
      <c r="E72" t="s">
        <v>109</v>
      </c>
      <c r="F72" t="s">
        <v>25</v>
      </c>
      <c r="G72">
        <v>223845.03</v>
      </c>
      <c r="H72">
        <v>198806.77</v>
      </c>
      <c r="I72" t="s">
        <v>49</v>
      </c>
      <c r="J72" t="s">
        <v>19</v>
      </c>
      <c r="K72">
        <v>25038.260000000009</v>
      </c>
      <c r="L72">
        <v>0.11185533134240241</v>
      </c>
    </row>
    <row r="73" spans="1:12" x14ac:dyDescent="0.35">
      <c r="A73" t="s">
        <v>320</v>
      </c>
      <c r="B73" s="1">
        <v>46146</v>
      </c>
      <c r="C73" t="s">
        <v>12</v>
      </c>
      <c r="D73" t="s">
        <v>23</v>
      </c>
      <c r="E73" t="s">
        <v>134</v>
      </c>
      <c r="F73" t="s">
        <v>15</v>
      </c>
      <c r="G73">
        <v>386090.38</v>
      </c>
      <c r="H73">
        <v>254368.71</v>
      </c>
      <c r="I73" t="s">
        <v>18</v>
      </c>
      <c r="J73" t="s">
        <v>19</v>
      </c>
      <c r="K73">
        <v>131721.67000000001</v>
      </c>
      <c r="L73">
        <v>0.34116796694079765</v>
      </c>
    </row>
    <row r="74" spans="1:12" x14ac:dyDescent="0.35">
      <c r="A74" t="s">
        <v>324</v>
      </c>
      <c r="B74" s="1">
        <v>46162</v>
      </c>
      <c r="C74" t="s">
        <v>12</v>
      </c>
      <c r="D74" t="s">
        <v>53</v>
      </c>
      <c r="E74" t="s">
        <v>134</v>
      </c>
      <c r="F74" t="s">
        <v>15</v>
      </c>
      <c r="G74">
        <v>400889.95</v>
      </c>
      <c r="H74">
        <v>197711.44</v>
      </c>
      <c r="I74" t="s">
        <v>18</v>
      </c>
      <c r="J74" t="s">
        <v>41</v>
      </c>
      <c r="K74">
        <v>203178.51</v>
      </c>
      <c r="L74">
        <v>0.50681866681866183</v>
      </c>
    </row>
    <row r="75" spans="1:12" x14ac:dyDescent="0.35">
      <c r="A75" t="s">
        <v>327</v>
      </c>
      <c r="B75" s="1">
        <v>46133</v>
      </c>
      <c r="C75" t="s">
        <v>12</v>
      </c>
      <c r="D75" t="s">
        <v>36</v>
      </c>
      <c r="E75" t="s">
        <v>45</v>
      </c>
      <c r="F75" t="s">
        <v>15</v>
      </c>
      <c r="G75">
        <v>240398.26</v>
      </c>
      <c r="H75">
        <v>104925.51</v>
      </c>
      <c r="I75" t="s">
        <v>49</v>
      </c>
      <c r="J75" t="s">
        <v>19</v>
      </c>
      <c r="K75">
        <v>135472.75</v>
      </c>
      <c r="L75">
        <v>0.56353465287144755</v>
      </c>
    </row>
    <row r="76" spans="1:12" x14ac:dyDescent="0.35">
      <c r="A76" t="s">
        <v>331</v>
      </c>
      <c r="B76" s="1">
        <v>46036</v>
      </c>
      <c r="C76" t="s">
        <v>67</v>
      </c>
      <c r="D76" t="s">
        <v>36</v>
      </c>
      <c r="E76" t="s">
        <v>134</v>
      </c>
      <c r="F76" t="s">
        <v>79</v>
      </c>
      <c r="G76">
        <v>462583.69</v>
      </c>
      <c r="H76">
        <v>363526.64</v>
      </c>
      <c r="I76" t="s">
        <v>18</v>
      </c>
      <c r="J76" t="s">
        <v>19</v>
      </c>
      <c r="K76">
        <v>99057.049999999988</v>
      </c>
      <c r="L76">
        <v>0.21413865672609422</v>
      </c>
    </row>
    <row r="77" spans="1:12" x14ac:dyDescent="0.35">
      <c r="A77" t="s">
        <v>335</v>
      </c>
      <c r="B77" s="1">
        <v>46187</v>
      </c>
      <c r="C77" t="s">
        <v>99</v>
      </c>
      <c r="D77" t="s">
        <v>53</v>
      </c>
      <c r="E77" t="s">
        <v>45</v>
      </c>
      <c r="F77" t="s">
        <v>46</v>
      </c>
      <c r="G77">
        <v>129069.69</v>
      </c>
      <c r="H77">
        <v>57555.38</v>
      </c>
      <c r="I77" t="s">
        <v>32</v>
      </c>
      <c r="J77" t="s">
        <v>41</v>
      </c>
      <c r="K77">
        <v>71514.31</v>
      </c>
      <c r="L77">
        <v>0.55407516667933421</v>
      </c>
    </row>
    <row r="78" spans="1:12" x14ac:dyDescent="0.35">
      <c r="A78" t="s">
        <v>339</v>
      </c>
      <c r="B78" s="1">
        <v>46203</v>
      </c>
      <c r="C78" t="s">
        <v>3383</v>
      </c>
      <c r="D78" t="s">
        <v>23</v>
      </c>
      <c r="E78" t="s">
        <v>14</v>
      </c>
      <c r="F78" t="s">
        <v>38</v>
      </c>
      <c r="G78">
        <v>390713.36</v>
      </c>
      <c r="H78">
        <v>300012.75</v>
      </c>
      <c r="I78" t="s">
        <v>49</v>
      </c>
      <c r="J78" t="s">
        <v>19</v>
      </c>
      <c r="K78">
        <v>90700.609999999986</v>
      </c>
      <c r="L78">
        <v>0.23214105092285553</v>
      </c>
    </row>
    <row r="79" spans="1:12" x14ac:dyDescent="0.35">
      <c r="A79" t="s">
        <v>342</v>
      </c>
      <c r="B79" s="1">
        <v>46061</v>
      </c>
      <c r="C79" t="s">
        <v>99</v>
      </c>
      <c r="D79" t="s">
        <v>23</v>
      </c>
      <c r="E79" t="s">
        <v>45</v>
      </c>
      <c r="F79" t="s">
        <v>74</v>
      </c>
      <c r="G79">
        <v>98046.13</v>
      </c>
      <c r="H79">
        <v>52426.62</v>
      </c>
      <c r="I79" t="s">
        <v>32</v>
      </c>
      <c r="J79" t="s">
        <v>19</v>
      </c>
      <c r="K79">
        <v>45619.51</v>
      </c>
      <c r="L79">
        <v>0.46528618722635967</v>
      </c>
    </row>
    <row r="80" spans="1:12" x14ac:dyDescent="0.35">
      <c r="A80" t="s">
        <v>346</v>
      </c>
      <c r="B80" s="1">
        <v>46058</v>
      </c>
      <c r="C80" t="s">
        <v>3383</v>
      </c>
      <c r="D80" t="s">
        <v>23</v>
      </c>
      <c r="E80" t="s">
        <v>14</v>
      </c>
      <c r="F80" t="s">
        <v>38</v>
      </c>
      <c r="G80">
        <v>238492.84</v>
      </c>
      <c r="H80">
        <v>136727.38</v>
      </c>
      <c r="I80" t="s">
        <v>18</v>
      </c>
      <c r="J80" t="s">
        <v>19</v>
      </c>
      <c r="K80">
        <v>101765.45999999999</v>
      </c>
      <c r="L80">
        <v>0.42670236976506293</v>
      </c>
    </row>
    <row r="81" spans="1:12" x14ac:dyDescent="0.35">
      <c r="A81" t="s">
        <v>350</v>
      </c>
      <c r="B81" s="1">
        <v>46145</v>
      </c>
      <c r="C81" t="s">
        <v>12</v>
      </c>
      <c r="D81" t="s">
        <v>53</v>
      </c>
      <c r="E81" t="s">
        <v>24</v>
      </c>
      <c r="F81" t="s">
        <v>25</v>
      </c>
      <c r="G81">
        <v>382890.48</v>
      </c>
      <c r="H81">
        <v>185833.63</v>
      </c>
      <c r="I81" t="s">
        <v>18</v>
      </c>
      <c r="J81" t="s">
        <v>41</v>
      </c>
      <c r="K81">
        <v>197056.84999999998</v>
      </c>
      <c r="L81">
        <v>0.51465591414025225</v>
      </c>
    </row>
    <row r="82" spans="1:12" x14ac:dyDescent="0.35">
      <c r="A82" t="s">
        <v>354</v>
      </c>
      <c r="B82" s="1">
        <v>46146</v>
      </c>
      <c r="C82" t="s">
        <v>52</v>
      </c>
      <c r="D82" t="s">
        <v>53</v>
      </c>
      <c r="E82" t="s">
        <v>14</v>
      </c>
      <c r="F82" t="s">
        <v>46</v>
      </c>
      <c r="G82">
        <v>477962.49</v>
      </c>
      <c r="H82">
        <v>344074.47</v>
      </c>
      <c r="I82" t="s">
        <v>32</v>
      </c>
      <c r="J82" t="s">
        <v>41</v>
      </c>
      <c r="K82">
        <v>133888.02000000002</v>
      </c>
      <c r="L82">
        <v>0.2801224422443695</v>
      </c>
    </row>
    <row r="83" spans="1:12" x14ac:dyDescent="0.35">
      <c r="A83" t="s">
        <v>357</v>
      </c>
      <c r="B83" s="1">
        <v>46068</v>
      </c>
      <c r="C83" t="s">
        <v>12</v>
      </c>
      <c r="D83" t="s">
        <v>23</v>
      </c>
      <c r="E83" t="s">
        <v>45</v>
      </c>
      <c r="F83" t="s">
        <v>15</v>
      </c>
      <c r="G83">
        <v>76469.05</v>
      </c>
      <c r="H83">
        <v>33124.400000000001</v>
      </c>
      <c r="I83" t="s">
        <v>32</v>
      </c>
      <c r="J83" t="s">
        <v>41</v>
      </c>
      <c r="K83">
        <v>43344.65</v>
      </c>
      <c r="L83">
        <v>0.56682605577027567</v>
      </c>
    </row>
    <row r="84" spans="1:12" x14ac:dyDescent="0.35">
      <c r="A84" t="s">
        <v>361</v>
      </c>
      <c r="B84" s="1">
        <v>46161</v>
      </c>
      <c r="C84" t="s">
        <v>3383</v>
      </c>
      <c r="D84" t="s">
        <v>53</v>
      </c>
      <c r="E84" t="s">
        <v>24</v>
      </c>
      <c r="F84" t="s">
        <v>38</v>
      </c>
      <c r="G84">
        <v>460400.23</v>
      </c>
      <c r="H84">
        <v>423765.89</v>
      </c>
      <c r="I84" t="s">
        <v>32</v>
      </c>
      <c r="J84" t="s">
        <v>19</v>
      </c>
      <c r="K84">
        <v>36634.339999999967</v>
      </c>
      <c r="L84">
        <v>7.9570637920836768E-2</v>
      </c>
    </row>
    <row r="85" spans="1:12" x14ac:dyDescent="0.35">
      <c r="A85" t="s">
        <v>364</v>
      </c>
      <c r="B85" s="1">
        <v>46101</v>
      </c>
      <c r="C85" t="s">
        <v>67</v>
      </c>
      <c r="D85" t="s">
        <v>53</v>
      </c>
      <c r="E85" t="s">
        <v>24</v>
      </c>
      <c r="F85" t="s">
        <v>46</v>
      </c>
      <c r="G85">
        <v>283649.38</v>
      </c>
      <c r="H85">
        <v>151370.79999999999</v>
      </c>
      <c r="I85" t="s">
        <v>32</v>
      </c>
      <c r="J85" t="s">
        <v>19</v>
      </c>
      <c r="K85">
        <v>132278.58000000002</v>
      </c>
      <c r="L85">
        <v>0.46634538739340808</v>
      </c>
    </row>
    <row r="86" spans="1:12" x14ac:dyDescent="0.35">
      <c r="A86" t="s">
        <v>367</v>
      </c>
      <c r="B86" s="1">
        <v>46099</v>
      </c>
      <c r="C86" t="s">
        <v>67</v>
      </c>
      <c r="D86" t="s">
        <v>36</v>
      </c>
      <c r="E86" t="s">
        <v>24</v>
      </c>
      <c r="F86" t="s">
        <v>38</v>
      </c>
      <c r="G86">
        <v>173639.74</v>
      </c>
      <c r="H86">
        <v>158595.12</v>
      </c>
      <c r="I86" t="s">
        <v>49</v>
      </c>
      <c r="J86" t="s">
        <v>41</v>
      </c>
      <c r="K86">
        <v>15044.619999999995</v>
      </c>
      <c r="L86">
        <v>8.664272360693466E-2</v>
      </c>
    </row>
    <row r="87" spans="1:12" x14ac:dyDescent="0.35">
      <c r="A87" t="s">
        <v>371</v>
      </c>
      <c r="B87" s="1">
        <v>46046</v>
      </c>
      <c r="C87" t="s">
        <v>3383</v>
      </c>
      <c r="D87" t="s">
        <v>36</v>
      </c>
      <c r="E87" t="s">
        <v>37</v>
      </c>
      <c r="F87" t="s">
        <v>15</v>
      </c>
      <c r="G87">
        <v>429720.4</v>
      </c>
      <c r="H87">
        <v>349362.37</v>
      </c>
      <c r="I87" t="s">
        <v>18</v>
      </c>
      <c r="J87" t="s">
        <v>19</v>
      </c>
      <c r="K87">
        <v>80358.030000000028</v>
      </c>
      <c r="L87">
        <v>0.18700073350020158</v>
      </c>
    </row>
    <row r="88" spans="1:12" x14ac:dyDescent="0.35">
      <c r="A88" t="s">
        <v>374</v>
      </c>
      <c r="B88" s="1">
        <v>46119</v>
      </c>
      <c r="C88" t="s">
        <v>67</v>
      </c>
      <c r="D88" t="s">
        <v>36</v>
      </c>
      <c r="E88" t="s">
        <v>134</v>
      </c>
      <c r="F88" t="s">
        <v>46</v>
      </c>
      <c r="G88">
        <v>136946.1</v>
      </c>
      <c r="H88">
        <v>74304.960000000006</v>
      </c>
      <c r="I88" t="s">
        <v>49</v>
      </c>
      <c r="J88" t="s">
        <v>19</v>
      </c>
      <c r="K88">
        <v>62641.14</v>
      </c>
      <c r="L88">
        <v>0.45741455945076198</v>
      </c>
    </row>
    <row r="89" spans="1:12" x14ac:dyDescent="0.35">
      <c r="A89" t="s">
        <v>378</v>
      </c>
      <c r="B89" s="1">
        <v>46144</v>
      </c>
      <c r="C89" t="s">
        <v>99</v>
      </c>
      <c r="D89" t="s">
        <v>36</v>
      </c>
      <c r="E89" t="s">
        <v>14</v>
      </c>
      <c r="F89" t="s">
        <v>15</v>
      </c>
      <c r="G89">
        <v>179384.44</v>
      </c>
      <c r="H89">
        <v>152339.64000000001</v>
      </c>
      <c r="I89" t="s">
        <v>18</v>
      </c>
      <c r="J89" t="s">
        <v>41</v>
      </c>
      <c r="K89">
        <v>27044.799999999988</v>
      </c>
      <c r="L89">
        <v>0.15076446987263772</v>
      </c>
    </row>
    <row r="90" spans="1:12" x14ac:dyDescent="0.35">
      <c r="A90" t="s">
        <v>382</v>
      </c>
      <c r="B90" s="1">
        <v>46050</v>
      </c>
      <c r="C90" t="s">
        <v>99</v>
      </c>
      <c r="D90" t="s">
        <v>36</v>
      </c>
      <c r="E90" t="s">
        <v>37</v>
      </c>
      <c r="F90" t="s">
        <v>15</v>
      </c>
      <c r="G90">
        <v>288212.14</v>
      </c>
      <c r="H90">
        <v>147389.26999999999</v>
      </c>
      <c r="I90" t="s">
        <v>18</v>
      </c>
      <c r="J90" t="s">
        <v>41</v>
      </c>
      <c r="K90">
        <v>140822.87000000002</v>
      </c>
      <c r="L90">
        <v>0.48860839102752585</v>
      </c>
    </row>
    <row r="91" spans="1:12" x14ac:dyDescent="0.35">
      <c r="A91" t="s">
        <v>386</v>
      </c>
      <c r="B91" s="1">
        <v>46190</v>
      </c>
      <c r="C91" t="s">
        <v>99</v>
      </c>
      <c r="D91" t="s">
        <v>36</v>
      </c>
      <c r="E91" t="s">
        <v>14</v>
      </c>
      <c r="F91" t="s">
        <v>46</v>
      </c>
      <c r="G91">
        <v>335010.76</v>
      </c>
      <c r="H91">
        <v>199589.88</v>
      </c>
      <c r="I91" t="s">
        <v>32</v>
      </c>
      <c r="J91" t="s">
        <v>19</v>
      </c>
      <c r="K91">
        <v>135420.88</v>
      </c>
      <c r="L91">
        <v>0.40422844925936108</v>
      </c>
    </row>
    <row r="92" spans="1:12" x14ac:dyDescent="0.35">
      <c r="A92" t="s">
        <v>389</v>
      </c>
      <c r="B92" s="1">
        <v>46106</v>
      </c>
      <c r="C92" t="s">
        <v>12</v>
      </c>
      <c r="D92" t="s">
        <v>36</v>
      </c>
      <c r="E92" t="s">
        <v>24</v>
      </c>
      <c r="F92" t="s">
        <v>79</v>
      </c>
      <c r="G92">
        <v>330498.94</v>
      </c>
      <c r="H92">
        <v>308337.28999999998</v>
      </c>
      <c r="I92" t="s">
        <v>32</v>
      </c>
      <c r="J92" t="s">
        <v>19</v>
      </c>
      <c r="K92">
        <v>22161.650000000023</v>
      </c>
      <c r="L92">
        <v>6.7055131856096184E-2</v>
      </c>
    </row>
    <row r="93" spans="1:12" x14ac:dyDescent="0.35">
      <c r="A93" t="s">
        <v>393</v>
      </c>
      <c r="B93" s="1">
        <v>46091</v>
      </c>
      <c r="C93" t="s">
        <v>12</v>
      </c>
      <c r="D93" t="s">
        <v>53</v>
      </c>
      <c r="E93" t="s">
        <v>109</v>
      </c>
      <c r="F93" t="s">
        <v>79</v>
      </c>
      <c r="G93">
        <v>73464.86</v>
      </c>
      <c r="H93">
        <v>35803.9</v>
      </c>
      <c r="I93" t="s">
        <v>18</v>
      </c>
      <c r="J93" t="s">
        <v>19</v>
      </c>
      <c r="K93">
        <v>37660.959999999999</v>
      </c>
      <c r="L93">
        <v>0.51263910391988765</v>
      </c>
    </row>
    <row r="94" spans="1:12" x14ac:dyDescent="0.35">
      <c r="A94" t="s">
        <v>397</v>
      </c>
      <c r="B94" s="1">
        <v>46031</v>
      </c>
      <c r="C94" t="s">
        <v>3383</v>
      </c>
      <c r="D94" t="s">
        <v>53</v>
      </c>
      <c r="E94" t="s">
        <v>45</v>
      </c>
      <c r="F94" t="s">
        <v>79</v>
      </c>
      <c r="G94">
        <v>393026.67</v>
      </c>
      <c r="H94">
        <v>165563.78</v>
      </c>
      <c r="I94" t="s">
        <v>18</v>
      </c>
      <c r="J94" t="s">
        <v>41</v>
      </c>
      <c r="K94">
        <v>227462.88999999998</v>
      </c>
      <c r="L94">
        <v>0.57874670439031528</v>
      </c>
    </row>
    <row r="95" spans="1:12" x14ac:dyDescent="0.35">
      <c r="A95" t="s">
        <v>401</v>
      </c>
      <c r="B95" s="1">
        <v>46168</v>
      </c>
      <c r="C95" t="s">
        <v>67</v>
      </c>
      <c r="D95" t="s">
        <v>36</v>
      </c>
      <c r="E95" t="s">
        <v>37</v>
      </c>
      <c r="F95" t="s">
        <v>79</v>
      </c>
      <c r="G95">
        <v>308295.52</v>
      </c>
      <c r="H95">
        <v>248891.57</v>
      </c>
      <c r="I95" t="s">
        <v>18</v>
      </c>
      <c r="J95" t="s">
        <v>19</v>
      </c>
      <c r="K95">
        <v>59403.950000000012</v>
      </c>
      <c r="L95">
        <v>0.1926850899422736</v>
      </c>
    </row>
    <row r="96" spans="1:12" x14ac:dyDescent="0.35">
      <c r="A96" t="s">
        <v>405</v>
      </c>
      <c r="B96" s="1">
        <v>46071</v>
      </c>
      <c r="C96" t="s">
        <v>52</v>
      </c>
      <c r="D96" t="s">
        <v>23</v>
      </c>
      <c r="E96" t="s">
        <v>37</v>
      </c>
      <c r="F96" t="s">
        <v>38</v>
      </c>
      <c r="G96">
        <v>345126.14</v>
      </c>
      <c r="H96">
        <v>268885.65999999997</v>
      </c>
      <c r="I96" t="s">
        <v>49</v>
      </c>
      <c r="J96" t="s">
        <v>41</v>
      </c>
      <c r="K96">
        <v>76240.48000000004</v>
      </c>
      <c r="L96">
        <v>0.22090613014708199</v>
      </c>
    </row>
    <row r="97" spans="1:12" x14ac:dyDescent="0.35">
      <c r="A97" t="s">
        <v>408</v>
      </c>
      <c r="B97" s="1">
        <v>46069</v>
      </c>
      <c r="C97" t="s">
        <v>12</v>
      </c>
      <c r="D97" t="s">
        <v>36</v>
      </c>
      <c r="E97" t="s">
        <v>14</v>
      </c>
      <c r="F97" t="s">
        <v>38</v>
      </c>
      <c r="G97">
        <v>86277.2</v>
      </c>
      <c r="H97">
        <v>42379.19</v>
      </c>
      <c r="I97" t="s">
        <v>49</v>
      </c>
      <c r="J97" t="s">
        <v>19</v>
      </c>
      <c r="K97">
        <v>43898.009999999995</v>
      </c>
      <c r="L97">
        <v>0.50880197781105552</v>
      </c>
    </row>
    <row r="98" spans="1:12" x14ac:dyDescent="0.35">
      <c r="A98" t="s">
        <v>411</v>
      </c>
      <c r="B98" s="1">
        <v>46194</v>
      </c>
      <c r="C98" t="s">
        <v>12</v>
      </c>
      <c r="D98" t="s">
        <v>23</v>
      </c>
      <c r="E98" t="s">
        <v>134</v>
      </c>
      <c r="F98" t="s">
        <v>74</v>
      </c>
      <c r="G98">
        <v>328381.17</v>
      </c>
      <c r="H98">
        <v>157645.51999999999</v>
      </c>
      <c r="I98" t="s">
        <v>49</v>
      </c>
      <c r="J98" t="s">
        <v>19</v>
      </c>
      <c r="K98">
        <v>170735.65</v>
      </c>
      <c r="L98">
        <v>0.51993130422185907</v>
      </c>
    </row>
    <row r="99" spans="1:12" x14ac:dyDescent="0.35">
      <c r="A99" t="s">
        <v>414</v>
      </c>
      <c r="B99" s="1">
        <v>46181</v>
      </c>
      <c r="C99" t="s">
        <v>99</v>
      </c>
      <c r="D99" t="s">
        <v>36</v>
      </c>
      <c r="E99" t="s">
        <v>109</v>
      </c>
      <c r="F99" t="s">
        <v>46</v>
      </c>
      <c r="G99">
        <v>462003.06</v>
      </c>
      <c r="H99">
        <v>368228.84</v>
      </c>
      <c r="I99" t="s">
        <v>32</v>
      </c>
      <c r="J99" t="s">
        <v>41</v>
      </c>
      <c r="K99">
        <v>93774.219999999972</v>
      </c>
      <c r="L99">
        <v>0.20297315779683359</v>
      </c>
    </row>
    <row r="100" spans="1:12" x14ac:dyDescent="0.35">
      <c r="A100" t="s">
        <v>418</v>
      </c>
      <c r="B100" s="1">
        <v>46106</v>
      </c>
      <c r="C100" t="s">
        <v>12</v>
      </c>
      <c r="D100" t="s">
        <v>53</v>
      </c>
      <c r="E100" t="s">
        <v>45</v>
      </c>
      <c r="F100" t="s">
        <v>46</v>
      </c>
      <c r="G100">
        <v>59191.38</v>
      </c>
      <c r="H100">
        <v>24292.77</v>
      </c>
      <c r="I100" t="s">
        <v>32</v>
      </c>
      <c r="J100" t="s">
        <v>19</v>
      </c>
      <c r="K100">
        <v>34898.61</v>
      </c>
      <c r="L100">
        <v>0.58958939629385232</v>
      </c>
    </row>
    <row r="101" spans="1:12" x14ac:dyDescent="0.35">
      <c r="A101" t="s">
        <v>422</v>
      </c>
      <c r="B101" s="1">
        <v>46187</v>
      </c>
      <c r="C101" t="s">
        <v>52</v>
      </c>
      <c r="D101" t="s">
        <v>23</v>
      </c>
      <c r="E101" t="s">
        <v>134</v>
      </c>
      <c r="F101" t="s">
        <v>25</v>
      </c>
      <c r="G101">
        <v>81260.990000000005</v>
      </c>
      <c r="H101">
        <v>32590.35</v>
      </c>
      <c r="I101" t="s">
        <v>18</v>
      </c>
      <c r="J101" t="s">
        <v>41</v>
      </c>
      <c r="K101">
        <v>48670.640000000007</v>
      </c>
      <c r="L101">
        <v>0.59894224768858961</v>
      </c>
    </row>
    <row r="102" spans="1:12" x14ac:dyDescent="0.35">
      <c r="A102" t="s">
        <v>425</v>
      </c>
      <c r="B102" s="1">
        <v>46203</v>
      </c>
      <c r="C102" t="s">
        <v>12</v>
      </c>
      <c r="D102" t="s">
        <v>23</v>
      </c>
      <c r="E102" t="s">
        <v>109</v>
      </c>
      <c r="F102" t="s">
        <v>46</v>
      </c>
      <c r="G102">
        <v>229665.54</v>
      </c>
      <c r="H102">
        <v>194887.65</v>
      </c>
      <c r="I102" t="s">
        <v>49</v>
      </c>
      <c r="J102" t="s">
        <v>41</v>
      </c>
      <c r="K102">
        <v>34777.890000000014</v>
      </c>
      <c r="L102">
        <v>0.15142842065030745</v>
      </c>
    </row>
    <row r="103" spans="1:12" x14ac:dyDescent="0.35">
      <c r="A103" t="s">
        <v>429</v>
      </c>
      <c r="B103" s="1">
        <v>46073</v>
      </c>
      <c r="C103" t="s">
        <v>67</v>
      </c>
      <c r="D103" t="s">
        <v>36</v>
      </c>
      <c r="E103" t="s">
        <v>45</v>
      </c>
      <c r="F103" t="s">
        <v>38</v>
      </c>
      <c r="G103">
        <v>375853.58</v>
      </c>
      <c r="H103">
        <v>207300.58</v>
      </c>
      <c r="I103" t="s">
        <v>49</v>
      </c>
      <c r="J103" t="s">
        <v>19</v>
      </c>
      <c r="K103">
        <v>168553.00000000003</v>
      </c>
      <c r="L103">
        <v>0.44845388994299329</v>
      </c>
    </row>
    <row r="104" spans="1:12" x14ac:dyDescent="0.35">
      <c r="A104" t="s">
        <v>433</v>
      </c>
      <c r="B104" s="1">
        <v>46102</v>
      </c>
      <c r="C104" t="s">
        <v>99</v>
      </c>
      <c r="D104" t="s">
        <v>36</v>
      </c>
      <c r="E104" t="s">
        <v>24</v>
      </c>
      <c r="F104" t="s">
        <v>74</v>
      </c>
      <c r="G104">
        <v>93542.33</v>
      </c>
      <c r="H104">
        <v>74670.89</v>
      </c>
      <c r="I104" t="s">
        <v>32</v>
      </c>
      <c r="J104" t="s">
        <v>41</v>
      </c>
      <c r="K104">
        <v>18871.440000000002</v>
      </c>
      <c r="L104">
        <v>0.20174224866966647</v>
      </c>
    </row>
    <row r="105" spans="1:12" x14ac:dyDescent="0.35">
      <c r="A105" t="s">
        <v>437</v>
      </c>
      <c r="B105" s="1">
        <v>46186</v>
      </c>
      <c r="C105" t="s">
        <v>99</v>
      </c>
      <c r="D105" t="s">
        <v>36</v>
      </c>
      <c r="E105" t="s">
        <v>24</v>
      </c>
      <c r="F105" t="s">
        <v>38</v>
      </c>
      <c r="G105">
        <v>406436.6</v>
      </c>
      <c r="H105">
        <v>336530.41</v>
      </c>
      <c r="I105" t="s">
        <v>32</v>
      </c>
      <c r="J105" t="s">
        <v>41</v>
      </c>
      <c r="K105">
        <v>69906.19</v>
      </c>
      <c r="L105">
        <v>0.17199777283837137</v>
      </c>
    </row>
    <row r="106" spans="1:12" x14ac:dyDescent="0.35">
      <c r="A106" t="s">
        <v>441</v>
      </c>
      <c r="B106" s="1">
        <v>46149</v>
      </c>
      <c r="C106" t="s">
        <v>3383</v>
      </c>
      <c r="D106" t="s">
        <v>53</v>
      </c>
      <c r="E106" t="s">
        <v>45</v>
      </c>
      <c r="F106" t="s">
        <v>79</v>
      </c>
      <c r="G106">
        <v>289297.53000000003</v>
      </c>
      <c r="H106">
        <v>218713.45</v>
      </c>
      <c r="I106" t="s">
        <v>32</v>
      </c>
      <c r="J106" t="s">
        <v>41</v>
      </c>
      <c r="K106">
        <v>70584.080000000016</v>
      </c>
      <c r="L106">
        <v>0.24398438521061694</v>
      </c>
    </row>
    <row r="107" spans="1:12" x14ac:dyDescent="0.35">
      <c r="A107" t="s">
        <v>445</v>
      </c>
      <c r="B107" s="1">
        <v>46110</v>
      </c>
      <c r="C107" t="s">
        <v>99</v>
      </c>
      <c r="D107" t="s">
        <v>53</v>
      </c>
      <c r="E107" t="s">
        <v>37</v>
      </c>
      <c r="F107" t="s">
        <v>15</v>
      </c>
      <c r="G107">
        <v>360907.48</v>
      </c>
      <c r="H107">
        <v>179204.35</v>
      </c>
      <c r="I107" t="s">
        <v>49</v>
      </c>
      <c r="J107" t="s">
        <v>41</v>
      </c>
      <c r="K107">
        <v>181703.12999999998</v>
      </c>
      <c r="L107">
        <v>0.50346180134587393</v>
      </c>
    </row>
    <row r="108" spans="1:12" x14ac:dyDescent="0.35">
      <c r="A108" t="s">
        <v>449</v>
      </c>
      <c r="B108" s="1">
        <v>46163</v>
      </c>
      <c r="C108" t="s">
        <v>12</v>
      </c>
      <c r="D108" t="s">
        <v>36</v>
      </c>
      <c r="E108" t="s">
        <v>14</v>
      </c>
      <c r="F108" t="s">
        <v>79</v>
      </c>
      <c r="G108">
        <v>251664.93</v>
      </c>
      <c r="H108">
        <v>141181.12</v>
      </c>
      <c r="I108" t="s">
        <v>49</v>
      </c>
      <c r="J108" t="s">
        <v>19</v>
      </c>
      <c r="K108">
        <v>110483.81</v>
      </c>
      <c r="L108">
        <v>0.43901154602669512</v>
      </c>
    </row>
    <row r="109" spans="1:12" x14ac:dyDescent="0.35">
      <c r="A109" t="s">
        <v>453</v>
      </c>
      <c r="B109" s="1">
        <v>46047</v>
      </c>
      <c r="C109" t="s">
        <v>52</v>
      </c>
      <c r="D109" t="s">
        <v>23</v>
      </c>
      <c r="E109" t="s">
        <v>134</v>
      </c>
      <c r="F109" t="s">
        <v>25</v>
      </c>
      <c r="G109">
        <v>132853.65</v>
      </c>
      <c r="H109">
        <v>66988.479999999996</v>
      </c>
      <c r="I109" t="s">
        <v>18</v>
      </c>
      <c r="J109" t="s">
        <v>19</v>
      </c>
      <c r="K109">
        <v>65865.17</v>
      </c>
      <c r="L109">
        <v>0.49577237810176839</v>
      </c>
    </row>
    <row r="110" spans="1:12" x14ac:dyDescent="0.35">
      <c r="A110" t="s">
        <v>457</v>
      </c>
      <c r="B110" s="1">
        <v>46181</v>
      </c>
      <c r="C110" t="s">
        <v>12</v>
      </c>
      <c r="D110" t="s">
        <v>36</v>
      </c>
      <c r="E110" t="s">
        <v>24</v>
      </c>
      <c r="F110" t="s">
        <v>46</v>
      </c>
      <c r="G110">
        <v>359868.46</v>
      </c>
      <c r="H110">
        <v>195725.05</v>
      </c>
      <c r="I110" t="s">
        <v>18</v>
      </c>
      <c r="J110" t="s">
        <v>19</v>
      </c>
      <c r="K110">
        <v>164143.41000000003</v>
      </c>
      <c r="L110">
        <v>0.45612057805788264</v>
      </c>
    </row>
    <row r="111" spans="1:12" x14ac:dyDescent="0.35">
      <c r="A111" t="s">
        <v>460</v>
      </c>
      <c r="B111" s="1">
        <v>46139</v>
      </c>
      <c r="C111" t="s">
        <v>12</v>
      </c>
      <c r="D111" t="s">
        <v>36</v>
      </c>
      <c r="E111" t="s">
        <v>134</v>
      </c>
      <c r="F111" t="s">
        <v>15</v>
      </c>
      <c r="G111">
        <v>484902.99</v>
      </c>
      <c r="H111">
        <v>332582.38</v>
      </c>
      <c r="I111" t="s">
        <v>18</v>
      </c>
      <c r="J111" t="s">
        <v>19</v>
      </c>
      <c r="K111">
        <v>152320.60999999999</v>
      </c>
      <c r="L111">
        <v>0.31412594506789904</v>
      </c>
    </row>
    <row r="112" spans="1:12" x14ac:dyDescent="0.35">
      <c r="A112" t="s">
        <v>464</v>
      </c>
      <c r="B112" s="1">
        <v>46104</v>
      </c>
      <c r="C112" t="s">
        <v>12</v>
      </c>
      <c r="D112" t="s">
        <v>53</v>
      </c>
      <c r="E112" t="s">
        <v>24</v>
      </c>
      <c r="F112" t="s">
        <v>15</v>
      </c>
      <c r="G112">
        <v>416079.01</v>
      </c>
      <c r="H112">
        <v>354501.3</v>
      </c>
      <c r="I112" t="s">
        <v>49</v>
      </c>
      <c r="J112" t="s">
        <v>41</v>
      </c>
      <c r="K112">
        <v>61577.710000000021</v>
      </c>
      <c r="L112">
        <v>0.14799523292463135</v>
      </c>
    </row>
    <row r="113" spans="1:12" x14ac:dyDescent="0.35">
      <c r="A113" t="s">
        <v>468</v>
      </c>
      <c r="B113" s="1">
        <v>46117</v>
      </c>
      <c r="C113" t="s">
        <v>3383</v>
      </c>
      <c r="D113" t="s">
        <v>36</v>
      </c>
      <c r="E113" t="s">
        <v>37</v>
      </c>
      <c r="F113" t="s">
        <v>15</v>
      </c>
      <c r="G113">
        <v>393669.91</v>
      </c>
      <c r="H113">
        <v>325104.12</v>
      </c>
      <c r="I113" t="s">
        <v>18</v>
      </c>
      <c r="J113" t="s">
        <v>19</v>
      </c>
      <c r="K113">
        <v>68565.789999999979</v>
      </c>
      <c r="L113">
        <v>0.17417076656938293</v>
      </c>
    </row>
    <row r="114" spans="1:12" x14ac:dyDescent="0.35">
      <c r="A114" t="s">
        <v>472</v>
      </c>
      <c r="B114" s="1">
        <v>46060</v>
      </c>
      <c r="C114" t="s">
        <v>99</v>
      </c>
      <c r="D114" t="s">
        <v>36</v>
      </c>
      <c r="E114" t="s">
        <v>24</v>
      </c>
      <c r="F114" t="s">
        <v>15</v>
      </c>
      <c r="G114">
        <v>164257.73000000001</v>
      </c>
      <c r="H114">
        <v>83721.710000000006</v>
      </c>
      <c r="I114" t="s">
        <v>49</v>
      </c>
      <c r="J114" t="s">
        <v>41</v>
      </c>
      <c r="K114">
        <v>80536.02</v>
      </c>
      <c r="L114">
        <v>0.49030276992139121</v>
      </c>
    </row>
    <row r="115" spans="1:12" x14ac:dyDescent="0.35">
      <c r="A115" t="s">
        <v>476</v>
      </c>
      <c r="B115" s="1">
        <v>46118</v>
      </c>
      <c r="C115" t="s">
        <v>12</v>
      </c>
      <c r="D115" t="s">
        <v>53</v>
      </c>
      <c r="E115" t="s">
        <v>14</v>
      </c>
      <c r="F115" t="s">
        <v>38</v>
      </c>
      <c r="G115">
        <v>231101.41</v>
      </c>
      <c r="H115">
        <v>113693.29</v>
      </c>
      <c r="I115" t="s">
        <v>49</v>
      </c>
      <c r="J115" t="s">
        <v>41</v>
      </c>
      <c r="K115">
        <v>117408.12000000001</v>
      </c>
      <c r="L115">
        <v>0.50803722919734673</v>
      </c>
    </row>
    <row r="116" spans="1:12" x14ac:dyDescent="0.35">
      <c r="A116" t="s">
        <v>480</v>
      </c>
      <c r="B116" s="1">
        <v>46093</v>
      </c>
      <c r="C116" t="s">
        <v>12</v>
      </c>
      <c r="D116" t="s">
        <v>23</v>
      </c>
      <c r="E116" t="s">
        <v>45</v>
      </c>
      <c r="F116" t="s">
        <v>25</v>
      </c>
      <c r="G116">
        <v>396911.44</v>
      </c>
      <c r="H116">
        <v>242812.08</v>
      </c>
      <c r="I116" t="s">
        <v>49</v>
      </c>
      <c r="J116" t="s">
        <v>41</v>
      </c>
      <c r="K116">
        <v>154099.36000000002</v>
      </c>
      <c r="L116">
        <v>0.3882462042414298</v>
      </c>
    </row>
    <row r="117" spans="1:12" x14ac:dyDescent="0.35">
      <c r="A117" t="s">
        <v>484</v>
      </c>
      <c r="B117" s="1">
        <v>46132</v>
      </c>
      <c r="C117" t="s">
        <v>99</v>
      </c>
      <c r="D117" t="s">
        <v>53</v>
      </c>
      <c r="E117" t="s">
        <v>37</v>
      </c>
      <c r="F117" t="s">
        <v>38</v>
      </c>
      <c r="G117">
        <v>306826.3</v>
      </c>
      <c r="H117">
        <v>168362.1</v>
      </c>
      <c r="I117" t="s">
        <v>49</v>
      </c>
      <c r="J117" t="s">
        <v>41</v>
      </c>
      <c r="K117">
        <v>138464.19999999998</v>
      </c>
      <c r="L117">
        <v>0.45127878542354416</v>
      </c>
    </row>
    <row r="118" spans="1:12" x14ac:dyDescent="0.35">
      <c r="A118" t="s">
        <v>488</v>
      </c>
      <c r="B118" s="1">
        <v>46166</v>
      </c>
      <c r="C118" t="s">
        <v>52</v>
      </c>
      <c r="D118" t="s">
        <v>36</v>
      </c>
      <c r="E118" t="s">
        <v>14</v>
      </c>
      <c r="F118" t="s">
        <v>46</v>
      </c>
      <c r="G118">
        <v>122058.62</v>
      </c>
      <c r="H118">
        <v>51117.79</v>
      </c>
      <c r="I118" t="s">
        <v>49</v>
      </c>
      <c r="J118" t="s">
        <v>19</v>
      </c>
      <c r="K118">
        <v>70940.829999999987</v>
      </c>
      <c r="L118">
        <v>0.58120294986130427</v>
      </c>
    </row>
    <row r="119" spans="1:12" x14ac:dyDescent="0.35">
      <c r="A119" t="s">
        <v>492</v>
      </c>
      <c r="B119" s="1">
        <v>46040</v>
      </c>
      <c r="C119" t="s">
        <v>12</v>
      </c>
      <c r="D119" t="s">
        <v>53</v>
      </c>
      <c r="E119" t="s">
        <v>134</v>
      </c>
      <c r="F119" t="s">
        <v>15</v>
      </c>
      <c r="G119">
        <v>98259.17</v>
      </c>
      <c r="H119">
        <v>57438</v>
      </c>
      <c r="I119" t="s">
        <v>18</v>
      </c>
      <c r="J119" t="s">
        <v>41</v>
      </c>
      <c r="K119">
        <v>40821.17</v>
      </c>
      <c r="L119">
        <v>0.41544387154908796</v>
      </c>
    </row>
    <row r="120" spans="1:12" x14ac:dyDescent="0.35">
      <c r="A120" t="s">
        <v>496</v>
      </c>
      <c r="B120" s="1">
        <v>46151</v>
      </c>
      <c r="C120" t="s">
        <v>99</v>
      </c>
      <c r="D120" t="s">
        <v>36</v>
      </c>
      <c r="E120" t="s">
        <v>134</v>
      </c>
      <c r="F120" t="s">
        <v>79</v>
      </c>
      <c r="G120">
        <v>385275.69</v>
      </c>
      <c r="H120">
        <v>171294.66</v>
      </c>
      <c r="I120" t="s">
        <v>49</v>
      </c>
      <c r="J120" t="s">
        <v>41</v>
      </c>
      <c r="K120">
        <v>213981.03</v>
      </c>
      <c r="L120">
        <v>0.55539717546155065</v>
      </c>
    </row>
    <row r="121" spans="1:12" x14ac:dyDescent="0.35">
      <c r="A121" t="s">
        <v>500</v>
      </c>
      <c r="B121" s="1">
        <v>46139</v>
      </c>
      <c r="C121" t="s">
        <v>12</v>
      </c>
      <c r="D121" t="s">
        <v>53</v>
      </c>
      <c r="E121" t="s">
        <v>37</v>
      </c>
      <c r="F121" t="s">
        <v>15</v>
      </c>
      <c r="G121">
        <v>415198.21</v>
      </c>
      <c r="H121">
        <v>210682.81</v>
      </c>
      <c r="I121" t="s">
        <v>49</v>
      </c>
      <c r="J121" t="s">
        <v>41</v>
      </c>
      <c r="K121">
        <v>204515.40000000002</v>
      </c>
      <c r="L121">
        <v>0.49257293281683467</v>
      </c>
    </row>
    <row r="122" spans="1:12" x14ac:dyDescent="0.35">
      <c r="A122" t="s">
        <v>503</v>
      </c>
      <c r="B122" s="1">
        <v>46064</v>
      </c>
      <c r="C122" t="s">
        <v>12</v>
      </c>
      <c r="D122" t="s">
        <v>36</v>
      </c>
      <c r="E122" t="s">
        <v>134</v>
      </c>
      <c r="F122" t="s">
        <v>74</v>
      </c>
      <c r="G122">
        <v>273382.48</v>
      </c>
      <c r="H122">
        <v>242845.37</v>
      </c>
      <c r="I122" t="s">
        <v>18</v>
      </c>
      <c r="J122" t="s">
        <v>41</v>
      </c>
      <c r="K122">
        <v>30537.109999999986</v>
      </c>
      <c r="L122">
        <v>0.11170104975271271</v>
      </c>
    </row>
    <row r="123" spans="1:12" x14ac:dyDescent="0.35">
      <c r="A123" t="s">
        <v>507</v>
      </c>
      <c r="B123" s="1">
        <v>46182</v>
      </c>
      <c r="C123" t="s">
        <v>12</v>
      </c>
      <c r="D123" t="s">
        <v>53</v>
      </c>
      <c r="E123" t="s">
        <v>37</v>
      </c>
      <c r="F123" t="s">
        <v>74</v>
      </c>
      <c r="G123">
        <v>84589.69</v>
      </c>
      <c r="H123">
        <v>56084.7</v>
      </c>
      <c r="I123" t="s">
        <v>32</v>
      </c>
      <c r="J123" t="s">
        <v>41</v>
      </c>
      <c r="K123">
        <v>28504.990000000005</v>
      </c>
      <c r="L123">
        <v>0.33697948296063035</v>
      </c>
    </row>
    <row r="124" spans="1:12" x14ac:dyDescent="0.35">
      <c r="A124" t="s">
        <v>511</v>
      </c>
      <c r="B124" s="1">
        <v>46050</v>
      </c>
      <c r="C124" t="s">
        <v>12</v>
      </c>
      <c r="D124" t="s">
        <v>23</v>
      </c>
      <c r="E124" t="s">
        <v>109</v>
      </c>
      <c r="F124" t="s">
        <v>46</v>
      </c>
      <c r="G124">
        <v>97552.73</v>
      </c>
      <c r="H124">
        <v>72505.740000000005</v>
      </c>
      <c r="I124" t="s">
        <v>18</v>
      </c>
      <c r="J124" t="s">
        <v>41</v>
      </c>
      <c r="K124">
        <v>25046.989999999991</v>
      </c>
      <c r="L124">
        <v>0.25675334765106</v>
      </c>
    </row>
    <row r="125" spans="1:12" x14ac:dyDescent="0.35">
      <c r="A125" t="s">
        <v>514</v>
      </c>
      <c r="B125" s="1">
        <v>46123</v>
      </c>
      <c r="C125" t="s">
        <v>67</v>
      </c>
      <c r="D125" t="s">
        <v>36</v>
      </c>
      <c r="E125" t="s">
        <v>14</v>
      </c>
      <c r="F125" t="s">
        <v>79</v>
      </c>
      <c r="G125">
        <v>228344.58</v>
      </c>
      <c r="H125">
        <v>170766.58</v>
      </c>
      <c r="I125" t="s">
        <v>18</v>
      </c>
      <c r="J125" t="s">
        <v>19</v>
      </c>
      <c r="K125">
        <v>57578</v>
      </c>
      <c r="L125">
        <v>0.25215400339259203</v>
      </c>
    </row>
    <row r="126" spans="1:12" x14ac:dyDescent="0.35">
      <c r="A126" t="s">
        <v>518</v>
      </c>
      <c r="B126" s="1">
        <v>46114</v>
      </c>
      <c r="C126" t="s">
        <v>3383</v>
      </c>
      <c r="D126" t="s">
        <v>23</v>
      </c>
      <c r="E126" t="s">
        <v>14</v>
      </c>
      <c r="F126" t="s">
        <v>46</v>
      </c>
      <c r="G126">
        <v>478236.74</v>
      </c>
      <c r="H126">
        <v>429385.54</v>
      </c>
      <c r="I126" t="s">
        <v>49</v>
      </c>
      <c r="J126" t="s">
        <v>19</v>
      </c>
      <c r="K126">
        <v>48851.200000000012</v>
      </c>
      <c r="L126">
        <v>0.10214857185585535</v>
      </c>
    </row>
    <row r="127" spans="1:12" x14ac:dyDescent="0.35">
      <c r="A127" t="s">
        <v>522</v>
      </c>
      <c r="B127" s="1">
        <v>46200</v>
      </c>
      <c r="C127" t="s">
        <v>99</v>
      </c>
      <c r="D127" t="s">
        <v>23</v>
      </c>
      <c r="E127" t="s">
        <v>109</v>
      </c>
      <c r="F127" t="s">
        <v>79</v>
      </c>
      <c r="G127">
        <v>286057.71000000002</v>
      </c>
      <c r="H127">
        <v>131304.89000000001</v>
      </c>
      <c r="I127" t="s">
        <v>49</v>
      </c>
      <c r="J127" t="s">
        <v>19</v>
      </c>
      <c r="K127">
        <v>154752.82</v>
      </c>
      <c r="L127">
        <v>0.54098461460801039</v>
      </c>
    </row>
    <row r="128" spans="1:12" x14ac:dyDescent="0.35">
      <c r="A128" t="s">
        <v>526</v>
      </c>
      <c r="B128" s="1">
        <v>46136</v>
      </c>
      <c r="C128" t="s">
        <v>12</v>
      </c>
      <c r="D128" t="s">
        <v>23</v>
      </c>
      <c r="E128" t="s">
        <v>14</v>
      </c>
      <c r="F128" t="s">
        <v>46</v>
      </c>
      <c r="G128">
        <v>252345.56</v>
      </c>
      <c r="H128">
        <v>115862.17</v>
      </c>
      <c r="I128" t="s">
        <v>49</v>
      </c>
      <c r="J128" t="s">
        <v>19</v>
      </c>
      <c r="K128">
        <v>136483.39000000001</v>
      </c>
      <c r="L128">
        <v>0.54085909020947309</v>
      </c>
    </row>
    <row r="129" spans="1:12" x14ac:dyDescent="0.35">
      <c r="A129" t="s">
        <v>530</v>
      </c>
      <c r="B129" s="1">
        <v>46158</v>
      </c>
      <c r="C129" t="s">
        <v>12</v>
      </c>
      <c r="D129" t="s">
        <v>23</v>
      </c>
      <c r="E129" t="s">
        <v>24</v>
      </c>
      <c r="F129" t="s">
        <v>74</v>
      </c>
      <c r="G129">
        <v>370311.18</v>
      </c>
      <c r="H129">
        <v>206450.44</v>
      </c>
      <c r="I129" t="s">
        <v>32</v>
      </c>
      <c r="J129" t="s">
        <v>41</v>
      </c>
      <c r="K129">
        <v>163860.74</v>
      </c>
      <c r="L129">
        <v>0.44249471485035907</v>
      </c>
    </row>
    <row r="130" spans="1:12" x14ac:dyDescent="0.35">
      <c r="A130" t="s">
        <v>534</v>
      </c>
      <c r="B130" s="1">
        <v>46167</v>
      </c>
      <c r="C130" t="s">
        <v>67</v>
      </c>
      <c r="D130" t="s">
        <v>36</v>
      </c>
      <c r="E130" t="s">
        <v>109</v>
      </c>
      <c r="F130" t="s">
        <v>79</v>
      </c>
      <c r="G130">
        <v>439590.7</v>
      </c>
      <c r="H130">
        <v>363955.37</v>
      </c>
      <c r="I130" t="s">
        <v>18</v>
      </c>
      <c r="J130" t="s">
        <v>19</v>
      </c>
      <c r="K130">
        <v>75635.330000000016</v>
      </c>
      <c r="L130">
        <v>0.17205853081059269</v>
      </c>
    </row>
    <row r="131" spans="1:12" x14ac:dyDescent="0.35">
      <c r="A131" t="s">
        <v>538</v>
      </c>
      <c r="B131" s="1">
        <v>46055</v>
      </c>
      <c r="C131" t="s">
        <v>3383</v>
      </c>
      <c r="D131" t="s">
        <v>36</v>
      </c>
      <c r="E131" t="s">
        <v>14</v>
      </c>
      <c r="F131" t="s">
        <v>15</v>
      </c>
      <c r="G131">
        <v>74595.210000000006</v>
      </c>
      <c r="H131">
        <v>63488.21</v>
      </c>
      <c r="I131" t="s">
        <v>49</v>
      </c>
      <c r="J131" t="s">
        <v>19</v>
      </c>
      <c r="K131">
        <v>11107.000000000007</v>
      </c>
      <c r="L131">
        <v>0.14889696000587713</v>
      </c>
    </row>
    <row r="132" spans="1:12" x14ac:dyDescent="0.35">
      <c r="A132" t="s">
        <v>542</v>
      </c>
      <c r="B132" s="1">
        <v>46112</v>
      </c>
      <c r="C132" t="s">
        <v>12</v>
      </c>
      <c r="D132" t="s">
        <v>53</v>
      </c>
      <c r="E132" t="s">
        <v>37</v>
      </c>
      <c r="F132" t="s">
        <v>79</v>
      </c>
      <c r="G132">
        <v>487369.64</v>
      </c>
      <c r="H132">
        <v>205124.71</v>
      </c>
      <c r="I132" t="s">
        <v>32</v>
      </c>
      <c r="J132" t="s">
        <v>19</v>
      </c>
      <c r="K132">
        <v>282244.93000000005</v>
      </c>
      <c r="L132">
        <v>0.57911881831621692</v>
      </c>
    </row>
    <row r="133" spans="1:12" x14ac:dyDescent="0.35">
      <c r="A133" t="s">
        <v>546</v>
      </c>
      <c r="B133" s="1">
        <v>46078</v>
      </c>
      <c r="C133" t="s">
        <v>52</v>
      </c>
      <c r="D133" t="s">
        <v>36</v>
      </c>
      <c r="E133" t="s">
        <v>109</v>
      </c>
      <c r="F133" t="s">
        <v>25</v>
      </c>
      <c r="G133">
        <v>385689.49</v>
      </c>
      <c r="H133">
        <v>203021.18</v>
      </c>
      <c r="I133" t="s">
        <v>49</v>
      </c>
      <c r="J133" t="s">
        <v>19</v>
      </c>
      <c r="K133">
        <v>182668.31</v>
      </c>
      <c r="L133">
        <v>0.47361495383242103</v>
      </c>
    </row>
    <row r="134" spans="1:12" x14ac:dyDescent="0.35">
      <c r="A134" t="s">
        <v>550</v>
      </c>
      <c r="B134" s="1">
        <v>46161</v>
      </c>
      <c r="C134" t="s">
        <v>67</v>
      </c>
      <c r="D134" t="s">
        <v>53</v>
      </c>
      <c r="E134" t="s">
        <v>37</v>
      </c>
      <c r="F134" t="s">
        <v>79</v>
      </c>
      <c r="G134">
        <v>240256.51</v>
      </c>
      <c r="H134">
        <v>189393.1</v>
      </c>
      <c r="I134" t="s">
        <v>18</v>
      </c>
      <c r="J134" t="s">
        <v>41</v>
      </c>
      <c r="K134">
        <v>50863.41</v>
      </c>
      <c r="L134">
        <v>0.21170460688037132</v>
      </c>
    </row>
    <row r="135" spans="1:12" x14ac:dyDescent="0.35">
      <c r="A135" t="s">
        <v>553</v>
      </c>
      <c r="B135" s="1">
        <v>46200</v>
      </c>
      <c r="C135" t="s">
        <v>3383</v>
      </c>
      <c r="D135" t="s">
        <v>53</v>
      </c>
      <c r="E135" t="s">
        <v>134</v>
      </c>
      <c r="F135" t="s">
        <v>25</v>
      </c>
      <c r="G135">
        <v>156169.39000000001</v>
      </c>
      <c r="H135">
        <v>82523.14</v>
      </c>
      <c r="I135" t="s">
        <v>49</v>
      </c>
      <c r="J135" t="s">
        <v>41</v>
      </c>
      <c r="K135">
        <v>73646.250000000015</v>
      </c>
      <c r="L135">
        <v>0.47157928964184342</v>
      </c>
    </row>
    <row r="136" spans="1:12" x14ac:dyDescent="0.35">
      <c r="A136" t="s">
        <v>556</v>
      </c>
      <c r="B136" s="1">
        <v>46111</v>
      </c>
      <c r="C136" t="s">
        <v>99</v>
      </c>
      <c r="D136" t="s">
        <v>53</v>
      </c>
      <c r="E136" t="s">
        <v>134</v>
      </c>
      <c r="F136" t="s">
        <v>79</v>
      </c>
      <c r="G136">
        <v>427278.26</v>
      </c>
      <c r="H136">
        <v>302855.17</v>
      </c>
      <c r="I136" t="s">
        <v>18</v>
      </c>
      <c r="J136" t="s">
        <v>19</v>
      </c>
      <c r="K136">
        <v>124423.09000000003</v>
      </c>
      <c r="L136">
        <v>0.29119920587581505</v>
      </c>
    </row>
    <row r="137" spans="1:12" x14ac:dyDescent="0.35">
      <c r="A137" t="s">
        <v>560</v>
      </c>
      <c r="B137" s="1">
        <v>46105</v>
      </c>
      <c r="C137" t="s">
        <v>99</v>
      </c>
      <c r="D137" t="s">
        <v>53</v>
      </c>
      <c r="E137" t="s">
        <v>109</v>
      </c>
      <c r="F137" t="s">
        <v>15</v>
      </c>
      <c r="G137">
        <v>151627.88</v>
      </c>
      <c r="H137">
        <v>126745.9</v>
      </c>
      <c r="I137" t="s">
        <v>18</v>
      </c>
      <c r="J137" t="s">
        <v>19</v>
      </c>
      <c r="K137">
        <v>24881.98000000001</v>
      </c>
      <c r="L137">
        <v>0.16409897704828433</v>
      </c>
    </row>
    <row r="138" spans="1:12" x14ac:dyDescent="0.35">
      <c r="A138" t="s">
        <v>564</v>
      </c>
      <c r="B138" s="1">
        <v>46131</v>
      </c>
      <c r="C138" t="s">
        <v>12</v>
      </c>
      <c r="D138" t="s">
        <v>23</v>
      </c>
      <c r="E138" t="s">
        <v>45</v>
      </c>
      <c r="F138" t="s">
        <v>38</v>
      </c>
      <c r="G138">
        <v>469732.48</v>
      </c>
      <c r="H138">
        <v>193192.12</v>
      </c>
      <c r="I138" t="s">
        <v>18</v>
      </c>
      <c r="J138" t="s">
        <v>19</v>
      </c>
      <c r="K138">
        <v>276540.36</v>
      </c>
      <c r="L138">
        <v>0.58871883843331418</v>
      </c>
    </row>
    <row r="139" spans="1:12" x14ac:dyDescent="0.35">
      <c r="A139" t="s">
        <v>567</v>
      </c>
      <c r="B139" s="1">
        <v>46112</v>
      </c>
      <c r="C139" t="s">
        <v>67</v>
      </c>
      <c r="D139" t="s">
        <v>36</v>
      </c>
      <c r="E139" t="s">
        <v>37</v>
      </c>
      <c r="F139" t="s">
        <v>74</v>
      </c>
      <c r="G139">
        <v>334239.75</v>
      </c>
      <c r="H139">
        <v>223746.79</v>
      </c>
      <c r="I139" t="s">
        <v>32</v>
      </c>
      <c r="J139" t="s">
        <v>41</v>
      </c>
      <c r="K139">
        <v>110492.95999999999</v>
      </c>
      <c r="L139">
        <v>0.3305799504696853</v>
      </c>
    </row>
    <row r="140" spans="1:12" x14ac:dyDescent="0.35">
      <c r="A140" t="s">
        <v>570</v>
      </c>
      <c r="B140" s="1">
        <v>46160</v>
      </c>
      <c r="C140" t="s">
        <v>67</v>
      </c>
      <c r="D140" t="s">
        <v>23</v>
      </c>
      <c r="E140" t="s">
        <v>24</v>
      </c>
      <c r="F140" t="s">
        <v>46</v>
      </c>
      <c r="G140">
        <v>113166.85</v>
      </c>
      <c r="H140">
        <v>87297.46</v>
      </c>
      <c r="I140" t="s">
        <v>49</v>
      </c>
      <c r="J140" t="s">
        <v>19</v>
      </c>
      <c r="K140">
        <v>25869.39</v>
      </c>
      <c r="L140">
        <v>0.22859512304177415</v>
      </c>
    </row>
    <row r="141" spans="1:12" x14ac:dyDescent="0.35">
      <c r="A141" t="s">
        <v>574</v>
      </c>
      <c r="B141" s="1">
        <v>46114</v>
      </c>
      <c r="C141" t="s">
        <v>99</v>
      </c>
      <c r="D141" t="s">
        <v>53</v>
      </c>
      <c r="E141" t="s">
        <v>45</v>
      </c>
      <c r="F141" t="s">
        <v>25</v>
      </c>
      <c r="G141">
        <v>227502.19</v>
      </c>
      <c r="H141">
        <v>165260.18</v>
      </c>
      <c r="I141" t="s">
        <v>49</v>
      </c>
      <c r="J141" t="s">
        <v>41</v>
      </c>
      <c r="K141">
        <v>62242.010000000009</v>
      </c>
      <c r="L141">
        <v>0.27358861908098558</v>
      </c>
    </row>
    <row r="142" spans="1:12" x14ac:dyDescent="0.35">
      <c r="A142" t="s">
        <v>578</v>
      </c>
      <c r="B142" s="1">
        <v>46025</v>
      </c>
      <c r="C142" t="s">
        <v>12</v>
      </c>
      <c r="D142" t="s">
        <v>23</v>
      </c>
      <c r="E142" t="s">
        <v>134</v>
      </c>
      <c r="F142" t="s">
        <v>25</v>
      </c>
      <c r="G142">
        <v>149135.44</v>
      </c>
      <c r="H142">
        <v>126520.22</v>
      </c>
      <c r="I142" t="s">
        <v>49</v>
      </c>
      <c r="J142" t="s">
        <v>41</v>
      </c>
      <c r="K142">
        <v>22615.22</v>
      </c>
      <c r="L142">
        <v>0.15164215829584168</v>
      </c>
    </row>
    <row r="143" spans="1:12" x14ac:dyDescent="0.35">
      <c r="A143" t="s">
        <v>582</v>
      </c>
      <c r="B143" s="1">
        <v>46104</v>
      </c>
      <c r="C143" t="s">
        <v>12</v>
      </c>
      <c r="D143" t="s">
        <v>23</v>
      </c>
      <c r="E143" t="s">
        <v>45</v>
      </c>
      <c r="F143" t="s">
        <v>38</v>
      </c>
      <c r="G143">
        <v>214540.93</v>
      </c>
      <c r="H143">
        <v>120323.53</v>
      </c>
      <c r="I143" t="s">
        <v>49</v>
      </c>
      <c r="J143" t="s">
        <v>19</v>
      </c>
      <c r="K143">
        <v>94217.4</v>
      </c>
      <c r="L143">
        <v>0.43915815970407135</v>
      </c>
    </row>
    <row r="144" spans="1:12" x14ac:dyDescent="0.35">
      <c r="A144" t="s">
        <v>586</v>
      </c>
      <c r="B144" s="1">
        <v>46151</v>
      </c>
      <c r="C144" t="s">
        <v>99</v>
      </c>
      <c r="D144" t="s">
        <v>36</v>
      </c>
      <c r="E144" t="s">
        <v>37</v>
      </c>
      <c r="F144" t="s">
        <v>74</v>
      </c>
      <c r="G144">
        <v>179377.66</v>
      </c>
      <c r="H144">
        <v>79593.73</v>
      </c>
      <c r="I144" t="s">
        <v>18</v>
      </c>
      <c r="J144" t="s">
        <v>19</v>
      </c>
      <c r="K144">
        <v>99783.930000000008</v>
      </c>
      <c r="L144">
        <v>0.55627846856737906</v>
      </c>
    </row>
    <row r="145" spans="1:12" x14ac:dyDescent="0.35">
      <c r="A145" t="s">
        <v>589</v>
      </c>
      <c r="B145" s="1">
        <v>46164</v>
      </c>
      <c r="C145" t="s">
        <v>12</v>
      </c>
      <c r="D145" t="s">
        <v>53</v>
      </c>
      <c r="E145" t="s">
        <v>134</v>
      </c>
      <c r="F145" t="s">
        <v>15</v>
      </c>
      <c r="G145">
        <v>196712.46</v>
      </c>
      <c r="H145">
        <v>117489.79</v>
      </c>
      <c r="I145" t="s">
        <v>49</v>
      </c>
      <c r="J145" t="s">
        <v>41</v>
      </c>
      <c r="K145">
        <v>79222.67</v>
      </c>
      <c r="L145">
        <v>0.4027333601542068</v>
      </c>
    </row>
    <row r="146" spans="1:12" x14ac:dyDescent="0.35">
      <c r="A146" t="s">
        <v>593</v>
      </c>
      <c r="B146" s="1">
        <v>46135</v>
      </c>
      <c r="C146" t="s">
        <v>67</v>
      </c>
      <c r="D146" t="s">
        <v>36</v>
      </c>
      <c r="E146" t="s">
        <v>37</v>
      </c>
      <c r="F146" t="s">
        <v>25</v>
      </c>
      <c r="G146">
        <v>215335.37</v>
      </c>
      <c r="H146">
        <v>162845.57999999999</v>
      </c>
      <c r="I146" t="s">
        <v>49</v>
      </c>
      <c r="J146" t="s">
        <v>19</v>
      </c>
      <c r="K146">
        <v>52489.790000000008</v>
      </c>
      <c r="L146">
        <v>0.24375832915883724</v>
      </c>
    </row>
    <row r="147" spans="1:12" x14ac:dyDescent="0.35">
      <c r="A147" t="s">
        <v>597</v>
      </c>
      <c r="B147" s="1">
        <v>46126</v>
      </c>
      <c r="C147" t="s">
        <v>67</v>
      </c>
      <c r="D147" t="s">
        <v>53</v>
      </c>
      <c r="E147" t="s">
        <v>45</v>
      </c>
      <c r="F147" t="s">
        <v>38</v>
      </c>
      <c r="G147">
        <v>185990.09</v>
      </c>
      <c r="H147">
        <v>172151.51</v>
      </c>
      <c r="I147" t="s">
        <v>32</v>
      </c>
      <c r="J147" t="s">
        <v>41</v>
      </c>
      <c r="K147">
        <v>13838.579999999987</v>
      </c>
      <c r="L147">
        <v>7.4404932004710503E-2</v>
      </c>
    </row>
    <row r="148" spans="1:12" x14ac:dyDescent="0.35">
      <c r="A148" t="s">
        <v>601</v>
      </c>
      <c r="B148" s="1">
        <v>46087</v>
      </c>
      <c r="C148" t="s">
        <v>3383</v>
      </c>
      <c r="D148" t="s">
        <v>23</v>
      </c>
      <c r="E148" t="s">
        <v>134</v>
      </c>
      <c r="F148" t="s">
        <v>38</v>
      </c>
      <c r="G148">
        <v>392874.23999999999</v>
      </c>
      <c r="H148">
        <v>248117.14</v>
      </c>
      <c r="I148" t="s">
        <v>18</v>
      </c>
      <c r="J148" t="s">
        <v>19</v>
      </c>
      <c r="K148">
        <v>144757.09999999998</v>
      </c>
      <c r="L148">
        <v>0.3684565829513281</v>
      </c>
    </row>
    <row r="149" spans="1:12" x14ac:dyDescent="0.35">
      <c r="A149" t="s">
        <v>605</v>
      </c>
      <c r="B149" s="1">
        <v>46121</v>
      </c>
      <c r="C149" t="s">
        <v>12</v>
      </c>
      <c r="D149" t="s">
        <v>36</v>
      </c>
      <c r="E149" t="s">
        <v>134</v>
      </c>
      <c r="F149" t="s">
        <v>25</v>
      </c>
      <c r="G149">
        <v>410693.98</v>
      </c>
      <c r="H149">
        <v>278717.56</v>
      </c>
      <c r="I149" t="s">
        <v>32</v>
      </c>
      <c r="J149" t="s">
        <v>41</v>
      </c>
      <c r="K149">
        <v>131976.41999999998</v>
      </c>
      <c r="L149">
        <v>0.32134977970702172</v>
      </c>
    </row>
    <row r="150" spans="1:12" x14ac:dyDescent="0.35">
      <c r="A150" t="s">
        <v>609</v>
      </c>
      <c r="B150" s="1">
        <v>46029</v>
      </c>
      <c r="C150" t="s">
        <v>99</v>
      </c>
      <c r="D150" t="s">
        <v>23</v>
      </c>
      <c r="E150" t="s">
        <v>109</v>
      </c>
      <c r="F150" t="s">
        <v>46</v>
      </c>
      <c r="G150">
        <v>212036.71</v>
      </c>
      <c r="H150">
        <v>110364.93</v>
      </c>
      <c r="I150" t="s">
        <v>18</v>
      </c>
      <c r="J150" t="s">
        <v>41</v>
      </c>
      <c r="K150">
        <v>101671.78</v>
      </c>
      <c r="L150">
        <v>0.47950083737858412</v>
      </c>
    </row>
    <row r="151" spans="1:12" x14ac:dyDescent="0.35">
      <c r="A151" t="s">
        <v>613</v>
      </c>
      <c r="B151" s="1">
        <v>46123</v>
      </c>
      <c r="C151" t="s">
        <v>12</v>
      </c>
      <c r="D151" t="s">
        <v>23</v>
      </c>
      <c r="E151" t="s">
        <v>134</v>
      </c>
      <c r="F151" t="s">
        <v>79</v>
      </c>
      <c r="G151">
        <v>206403.18</v>
      </c>
      <c r="H151">
        <v>138183.10999999999</v>
      </c>
      <c r="I151" t="s">
        <v>32</v>
      </c>
      <c r="J151" t="s">
        <v>19</v>
      </c>
      <c r="K151">
        <v>68220.070000000007</v>
      </c>
      <c r="L151">
        <v>0.33051850267035621</v>
      </c>
    </row>
    <row r="152" spans="1:12" x14ac:dyDescent="0.35">
      <c r="A152" t="s">
        <v>616</v>
      </c>
      <c r="B152" s="1">
        <v>46101</v>
      </c>
      <c r="C152" t="s">
        <v>99</v>
      </c>
      <c r="D152" t="s">
        <v>53</v>
      </c>
      <c r="E152" t="s">
        <v>109</v>
      </c>
      <c r="F152" t="s">
        <v>15</v>
      </c>
      <c r="G152">
        <v>161340.24</v>
      </c>
      <c r="H152">
        <v>69364.66</v>
      </c>
      <c r="I152" t="s">
        <v>49</v>
      </c>
      <c r="J152" t="s">
        <v>19</v>
      </c>
      <c r="K152">
        <v>91975.579999999987</v>
      </c>
      <c r="L152">
        <v>0.57007216550564199</v>
      </c>
    </row>
    <row r="153" spans="1:12" x14ac:dyDescent="0.35">
      <c r="A153" t="s">
        <v>620</v>
      </c>
      <c r="B153" s="1">
        <v>46095</v>
      </c>
      <c r="C153" t="s">
        <v>52</v>
      </c>
      <c r="D153" t="s">
        <v>53</v>
      </c>
      <c r="E153" t="s">
        <v>109</v>
      </c>
      <c r="F153" t="s">
        <v>79</v>
      </c>
      <c r="G153">
        <v>449815.68</v>
      </c>
      <c r="H153">
        <v>355688.01</v>
      </c>
      <c r="I153" t="s">
        <v>49</v>
      </c>
      <c r="J153" t="s">
        <v>41</v>
      </c>
      <c r="K153">
        <v>94127.669999999984</v>
      </c>
      <c r="L153">
        <v>0.209258312204679</v>
      </c>
    </row>
    <row r="154" spans="1:12" x14ac:dyDescent="0.35">
      <c r="A154" t="s">
        <v>624</v>
      </c>
      <c r="B154" s="1">
        <v>46172</v>
      </c>
      <c r="C154" t="s">
        <v>12</v>
      </c>
      <c r="D154" t="s">
        <v>36</v>
      </c>
      <c r="E154" t="s">
        <v>45</v>
      </c>
      <c r="F154" t="s">
        <v>46</v>
      </c>
      <c r="G154">
        <v>208184.86</v>
      </c>
      <c r="H154">
        <v>171943.76</v>
      </c>
      <c r="I154" t="s">
        <v>32</v>
      </c>
      <c r="J154" t="s">
        <v>19</v>
      </c>
      <c r="K154">
        <v>36241.099999999977</v>
      </c>
      <c r="L154">
        <v>0.17408134289880628</v>
      </c>
    </row>
    <row r="155" spans="1:12" x14ac:dyDescent="0.35">
      <c r="A155" t="s">
        <v>628</v>
      </c>
      <c r="B155" s="1">
        <v>46083</v>
      </c>
      <c r="C155" t="s">
        <v>12</v>
      </c>
      <c r="D155" t="s">
        <v>23</v>
      </c>
      <c r="E155" t="s">
        <v>109</v>
      </c>
      <c r="F155" t="s">
        <v>15</v>
      </c>
      <c r="G155">
        <v>468339.95</v>
      </c>
      <c r="H155">
        <v>316744.90000000002</v>
      </c>
      <c r="I155" t="s">
        <v>49</v>
      </c>
      <c r="J155" t="s">
        <v>41</v>
      </c>
      <c r="K155">
        <v>151595.04999999999</v>
      </c>
      <c r="L155">
        <v>0.323685925149029</v>
      </c>
    </row>
    <row r="156" spans="1:12" x14ac:dyDescent="0.35">
      <c r="A156" t="s">
        <v>632</v>
      </c>
      <c r="B156" s="1">
        <v>46068</v>
      </c>
      <c r="C156" t="s">
        <v>12</v>
      </c>
      <c r="D156" t="s">
        <v>36</v>
      </c>
      <c r="E156" t="s">
        <v>14</v>
      </c>
      <c r="F156" t="s">
        <v>79</v>
      </c>
      <c r="G156">
        <v>346193.07</v>
      </c>
      <c r="H156">
        <v>232206.44</v>
      </c>
      <c r="I156" t="s">
        <v>49</v>
      </c>
      <c r="J156" t="s">
        <v>41</v>
      </c>
      <c r="K156">
        <v>113986.63</v>
      </c>
      <c r="L156">
        <v>0.32925739963541156</v>
      </c>
    </row>
    <row r="157" spans="1:12" x14ac:dyDescent="0.35">
      <c r="A157" t="s">
        <v>635</v>
      </c>
      <c r="B157" s="1">
        <v>46182</v>
      </c>
      <c r="C157" t="s">
        <v>3383</v>
      </c>
      <c r="D157" t="s">
        <v>36</v>
      </c>
      <c r="E157" t="s">
        <v>37</v>
      </c>
      <c r="F157" t="s">
        <v>15</v>
      </c>
      <c r="G157">
        <v>165680.95000000001</v>
      </c>
      <c r="H157">
        <v>149053.43</v>
      </c>
      <c r="I157" t="s">
        <v>18</v>
      </c>
      <c r="J157" t="s">
        <v>19</v>
      </c>
      <c r="K157">
        <v>16627.520000000019</v>
      </c>
      <c r="L157">
        <v>0.10035867128960824</v>
      </c>
    </row>
    <row r="158" spans="1:12" x14ac:dyDescent="0.35">
      <c r="A158" t="s">
        <v>639</v>
      </c>
      <c r="B158" s="1">
        <v>46130</v>
      </c>
      <c r="C158" t="s">
        <v>67</v>
      </c>
      <c r="D158" t="s">
        <v>36</v>
      </c>
      <c r="E158" t="s">
        <v>109</v>
      </c>
      <c r="F158" t="s">
        <v>25</v>
      </c>
      <c r="G158">
        <v>348944.87</v>
      </c>
      <c r="H158">
        <v>278382.03000000003</v>
      </c>
      <c r="I158" t="s">
        <v>18</v>
      </c>
      <c r="J158" t="s">
        <v>19</v>
      </c>
      <c r="K158">
        <v>70562.839999999967</v>
      </c>
      <c r="L158">
        <v>0.20221773141413418</v>
      </c>
    </row>
    <row r="159" spans="1:12" x14ac:dyDescent="0.35">
      <c r="A159" t="s">
        <v>643</v>
      </c>
      <c r="B159" s="1">
        <v>46194</v>
      </c>
      <c r="C159" t="s">
        <v>12</v>
      </c>
      <c r="D159" t="s">
        <v>36</v>
      </c>
      <c r="E159" t="s">
        <v>109</v>
      </c>
      <c r="F159" t="s">
        <v>15</v>
      </c>
      <c r="G159">
        <v>301641.43</v>
      </c>
      <c r="H159">
        <v>267477.21000000002</v>
      </c>
      <c r="I159" t="s">
        <v>49</v>
      </c>
      <c r="J159" t="s">
        <v>19</v>
      </c>
      <c r="K159">
        <v>34164.219999999972</v>
      </c>
      <c r="L159">
        <v>0.11326103314123651</v>
      </c>
    </row>
    <row r="160" spans="1:12" x14ac:dyDescent="0.35">
      <c r="A160" t="s">
        <v>647</v>
      </c>
      <c r="B160" s="1">
        <v>46116</v>
      </c>
      <c r="C160" t="s">
        <v>52</v>
      </c>
      <c r="D160" t="s">
        <v>36</v>
      </c>
      <c r="E160" t="s">
        <v>45</v>
      </c>
      <c r="F160" t="s">
        <v>79</v>
      </c>
      <c r="G160">
        <v>85289.5</v>
      </c>
      <c r="H160">
        <v>64625.47</v>
      </c>
      <c r="I160" t="s">
        <v>49</v>
      </c>
      <c r="J160" t="s">
        <v>41</v>
      </c>
      <c r="K160">
        <v>20664.03</v>
      </c>
      <c r="L160">
        <v>0.24228105452605536</v>
      </c>
    </row>
    <row r="161" spans="1:12" x14ac:dyDescent="0.35">
      <c r="A161" t="s">
        <v>651</v>
      </c>
      <c r="B161" s="1">
        <v>46058</v>
      </c>
      <c r="C161" t="s">
        <v>12</v>
      </c>
      <c r="D161" t="s">
        <v>23</v>
      </c>
      <c r="E161" t="s">
        <v>24</v>
      </c>
      <c r="F161" t="s">
        <v>25</v>
      </c>
      <c r="G161">
        <v>80247.98</v>
      </c>
      <c r="H161">
        <v>60024.3</v>
      </c>
      <c r="I161" t="s">
        <v>49</v>
      </c>
      <c r="J161" t="s">
        <v>19</v>
      </c>
      <c r="K161">
        <v>20223.679999999993</v>
      </c>
      <c r="L161">
        <v>0.25201481707078477</v>
      </c>
    </row>
    <row r="162" spans="1:12" x14ac:dyDescent="0.35">
      <c r="A162" t="s">
        <v>654</v>
      </c>
      <c r="B162" s="1">
        <v>46072</v>
      </c>
      <c r="C162" t="s">
        <v>12</v>
      </c>
      <c r="D162" t="s">
        <v>23</v>
      </c>
      <c r="E162" t="s">
        <v>45</v>
      </c>
      <c r="F162" t="s">
        <v>38</v>
      </c>
      <c r="G162">
        <v>370653.04</v>
      </c>
      <c r="H162">
        <v>304978.49</v>
      </c>
      <c r="I162" t="s">
        <v>49</v>
      </c>
      <c r="J162" t="s">
        <v>41</v>
      </c>
      <c r="K162">
        <v>65674.549999999988</v>
      </c>
      <c r="L162">
        <v>0.1771860551851942</v>
      </c>
    </row>
    <row r="163" spans="1:12" x14ac:dyDescent="0.35">
      <c r="A163" t="s">
        <v>658</v>
      </c>
      <c r="B163" s="1">
        <v>46084</v>
      </c>
      <c r="C163" t="s">
        <v>3383</v>
      </c>
      <c r="D163" t="s">
        <v>53</v>
      </c>
      <c r="E163" t="s">
        <v>37</v>
      </c>
      <c r="F163" t="s">
        <v>25</v>
      </c>
      <c r="G163">
        <v>369376.53</v>
      </c>
      <c r="H163">
        <v>270436.75</v>
      </c>
      <c r="I163" t="s">
        <v>49</v>
      </c>
      <c r="J163" t="s">
        <v>41</v>
      </c>
      <c r="K163">
        <v>98939.780000000028</v>
      </c>
      <c r="L163">
        <v>0.2678561629240494</v>
      </c>
    </row>
    <row r="164" spans="1:12" x14ac:dyDescent="0.35">
      <c r="A164" t="s">
        <v>662</v>
      </c>
      <c r="B164" s="1">
        <v>46074</v>
      </c>
      <c r="C164" t="s">
        <v>12</v>
      </c>
      <c r="D164" t="s">
        <v>23</v>
      </c>
      <c r="E164" t="s">
        <v>45</v>
      </c>
      <c r="F164" t="s">
        <v>79</v>
      </c>
      <c r="G164">
        <v>351245.17</v>
      </c>
      <c r="H164">
        <v>261198.85</v>
      </c>
      <c r="I164" t="s">
        <v>49</v>
      </c>
      <c r="J164" t="s">
        <v>41</v>
      </c>
      <c r="K164">
        <v>90046.319999999978</v>
      </c>
      <c r="L164">
        <v>0.25636315511470231</v>
      </c>
    </row>
    <row r="165" spans="1:12" x14ac:dyDescent="0.35">
      <c r="A165" t="s">
        <v>666</v>
      </c>
      <c r="B165" s="1">
        <v>46146</v>
      </c>
      <c r="C165" t="s">
        <v>12</v>
      </c>
      <c r="D165" t="s">
        <v>36</v>
      </c>
      <c r="E165" t="s">
        <v>24</v>
      </c>
      <c r="F165" t="s">
        <v>38</v>
      </c>
      <c r="G165">
        <v>486884.54</v>
      </c>
      <c r="H165">
        <v>358235.7</v>
      </c>
      <c r="I165" t="s">
        <v>49</v>
      </c>
      <c r="J165" t="s">
        <v>41</v>
      </c>
      <c r="K165">
        <v>128648.83999999997</v>
      </c>
      <c r="L165">
        <v>0.26422864032610272</v>
      </c>
    </row>
    <row r="166" spans="1:12" x14ac:dyDescent="0.35">
      <c r="A166" t="s">
        <v>670</v>
      </c>
      <c r="B166" s="1">
        <v>46172</v>
      </c>
      <c r="C166" t="s">
        <v>12</v>
      </c>
      <c r="D166" t="s">
        <v>53</v>
      </c>
      <c r="E166" t="s">
        <v>37</v>
      </c>
      <c r="F166" t="s">
        <v>79</v>
      </c>
      <c r="G166">
        <v>63410.45</v>
      </c>
      <c r="H166">
        <v>37233.730000000003</v>
      </c>
      <c r="I166" t="s">
        <v>18</v>
      </c>
      <c r="J166" t="s">
        <v>41</v>
      </c>
      <c r="K166">
        <v>26176.719999999994</v>
      </c>
      <c r="L166">
        <v>0.41281397624524024</v>
      </c>
    </row>
    <row r="167" spans="1:12" x14ac:dyDescent="0.35">
      <c r="A167" t="s">
        <v>673</v>
      </c>
      <c r="B167" s="1">
        <v>46049</v>
      </c>
      <c r="C167" t="s">
        <v>12</v>
      </c>
      <c r="D167" t="s">
        <v>53</v>
      </c>
      <c r="E167" t="s">
        <v>24</v>
      </c>
      <c r="F167" t="s">
        <v>15</v>
      </c>
      <c r="G167">
        <v>166999.6</v>
      </c>
      <c r="H167">
        <v>134841.04</v>
      </c>
      <c r="I167" t="s">
        <v>32</v>
      </c>
      <c r="J167" t="s">
        <v>41</v>
      </c>
      <c r="K167">
        <v>32158.559999999998</v>
      </c>
      <c r="L167">
        <v>0.19256668878248809</v>
      </c>
    </row>
    <row r="168" spans="1:12" x14ac:dyDescent="0.35">
      <c r="A168" t="s">
        <v>676</v>
      </c>
      <c r="B168" s="1">
        <v>46194</v>
      </c>
      <c r="C168" t="s">
        <v>52</v>
      </c>
      <c r="D168" t="s">
        <v>23</v>
      </c>
      <c r="E168" t="s">
        <v>37</v>
      </c>
      <c r="F168" t="s">
        <v>74</v>
      </c>
      <c r="G168">
        <v>361659.4</v>
      </c>
      <c r="H168">
        <v>294740.69</v>
      </c>
      <c r="I168" t="s">
        <v>18</v>
      </c>
      <c r="J168" t="s">
        <v>41</v>
      </c>
      <c r="K168">
        <v>66918.710000000021</v>
      </c>
      <c r="L168">
        <v>0.18503240894609685</v>
      </c>
    </row>
    <row r="169" spans="1:12" x14ac:dyDescent="0.35">
      <c r="A169" t="s">
        <v>679</v>
      </c>
      <c r="B169" s="1">
        <v>46108</v>
      </c>
      <c r="C169" t="s">
        <v>67</v>
      </c>
      <c r="D169" t="s">
        <v>36</v>
      </c>
      <c r="E169" t="s">
        <v>134</v>
      </c>
      <c r="F169" t="s">
        <v>15</v>
      </c>
      <c r="G169">
        <v>176266.8</v>
      </c>
      <c r="H169">
        <v>93464.72</v>
      </c>
      <c r="I169" t="s">
        <v>49</v>
      </c>
      <c r="J169" t="s">
        <v>19</v>
      </c>
      <c r="K169">
        <v>82802.079999999987</v>
      </c>
      <c r="L169">
        <v>0.4697542588848268</v>
      </c>
    </row>
    <row r="170" spans="1:12" x14ac:dyDescent="0.35">
      <c r="A170" t="s">
        <v>683</v>
      </c>
      <c r="B170" s="1">
        <v>46091</v>
      </c>
      <c r="C170" t="s">
        <v>12</v>
      </c>
      <c r="D170" t="s">
        <v>23</v>
      </c>
      <c r="E170" t="s">
        <v>134</v>
      </c>
      <c r="F170" t="s">
        <v>25</v>
      </c>
      <c r="G170">
        <v>60027.98</v>
      </c>
      <c r="H170">
        <v>27411.29</v>
      </c>
      <c r="I170" t="s">
        <v>32</v>
      </c>
      <c r="J170" t="s">
        <v>41</v>
      </c>
      <c r="K170">
        <v>32616.690000000002</v>
      </c>
      <c r="L170">
        <v>0.54335811399950495</v>
      </c>
    </row>
    <row r="171" spans="1:12" x14ac:dyDescent="0.35">
      <c r="A171" t="s">
        <v>687</v>
      </c>
      <c r="B171" s="1">
        <v>46066</v>
      </c>
      <c r="C171" t="s">
        <v>99</v>
      </c>
      <c r="D171" t="s">
        <v>53</v>
      </c>
      <c r="E171" t="s">
        <v>37</v>
      </c>
      <c r="F171" t="s">
        <v>46</v>
      </c>
      <c r="G171">
        <v>103872.89</v>
      </c>
      <c r="H171">
        <v>88633.07</v>
      </c>
      <c r="I171" t="s">
        <v>18</v>
      </c>
      <c r="J171" t="s">
        <v>19</v>
      </c>
      <c r="K171">
        <v>15239.819999999992</v>
      </c>
      <c r="L171">
        <v>0.14671604881697228</v>
      </c>
    </row>
    <row r="172" spans="1:12" x14ac:dyDescent="0.35">
      <c r="A172" t="s">
        <v>690</v>
      </c>
      <c r="B172" s="1">
        <v>46190</v>
      </c>
      <c r="C172" t="s">
        <v>3383</v>
      </c>
      <c r="D172" t="s">
        <v>53</v>
      </c>
      <c r="E172" t="s">
        <v>24</v>
      </c>
      <c r="F172" t="s">
        <v>74</v>
      </c>
      <c r="G172">
        <v>402668.08</v>
      </c>
      <c r="H172">
        <v>276876.23</v>
      </c>
      <c r="I172" t="s">
        <v>49</v>
      </c>
      <c r="J172" t="s">
        <v>19</v>
      </c>
      <c r="K172">
        <v>125791.85000000003</v>
      </c>
      <c r="L172">
        <v>0.31239588198796397</v>
      </c>
    </row>
    <row r="173" spans="1:12" x14ac:dyDescent="0.35">
      <c r="A173" t="s">
        <v>693</v>
      </c>
      <c r="B173" s="1">
        <v>46122</v>
      </c>
      <c r="C173" t="s">
        <v>99</v>
      </c>
      <c r="D173" t="s">
        <v>23</v>
      </c>
      <c r="E173" t="s">
        <v>14</v>
      </c>
      <c r="F173" t="s">
        <v>74</v>
      </c>
      <c r="G173">
        <v>227050.89</v>
      </c>
      <c r="H173">
        <v>100231.26</v>
      </c>
      <c r="I173" t="s">
        <v>18</v>
      </c>
      <c r="J173" t="s">
        <v>19</v>
      </c>
      <c r="K173">
        <v>126819.63000000002</v>
      </c>
      <c r="L173">
        <v>0.55855156524601168</v>
      </c>
    </row>
    <row r="174" spans="1:12" x14ac:dyDescent="0.35">
      <c r="A174" t="s">
        <v>697</v>
      </c>
      <c r="B174" s="1">
        <v>46191</v>
      </c>
      <c r="C174" t="s">
        <v>67</v>
      </c>
      <c r="D174" t="s">
        <v>36</v>
      </c>
      <c r="E174" t="s">
        <v>134</v>
      </c>
      <c r="F174" t="s">
        <v>46</v>
      </c>
      <c r="G174">
        <v>342032.3</v>
      </c>
      <c r="H174">
        <v>227141.54</v>
      </c>
      <c r="I174" t="s">
        <v>49</v>
      </c>
      <c r="J174" t="s">
        <v>19</v>
      </c>
      <c r="K174">
        <v>114890.75999999998</v>
      </c>
      <c r="L174">
        <v>0.33590617026520592</v>
      </c>
    </row>
    <row r="175" spans="1:12" x14ac:dyDescent="0.35">
      <c r="A175" t="s">
        <v>701</v>
      </c>
      <c r="B175" s="1">
        <v>46127</v>
      </c>
      <c r="C175" t="s">
        <v>12</v>
      </c>
      <c r="D175" t="s">
        <v>53</v>
      </c>
      <c r="E175" t="s">
        <v>24</v>
      </c>
      <c r="F175" t="s">
        <v>15</v>
      </c>
      <c r="G175">
        <v>190183</v>
      </c>
      <c r="H175">
        <v>116048.24</v>
      </c>
      <c r="I175" t="s">
        <v>49</v>
      </c>
      <c r="J175" t="s">
        <v>19</v>
      </c>
      <c r="K175">
        <v>74134.759999999995</v>
      </c>
      <c r="L175">
        <v>0.38980750119621627</v>
      </c>
    </row>
    <row r="176" spans="1:12" x14ac:dyDescent="0.35">
      <c r="A176" t="s">
        <v>705</v>
      </c>
      <c r="B176" s="1">
        <v>46199</v>
      </c>
      <c r="C176" t="s">
        <v>3383</v>
      </c>
      <c r="D176" t="s">
        <v>23</v>
      </c>
      <c r="E176" t="s">
        <v>24</v>
      </c>
      <c r="F176" t="s">
        <v>38</v>
      </c>
      <c r="G176">
        <v>446588.03</v>
      </c>
      <c r="H176">
        <v>323582.37</v>
      </c>
      <c r="I176" t="s">
        <v>18</v>
      </c>
      <c r="J176" t="s">
        <v>19</v>
      </c>
      <c r="K176">
        <v>123005.66000000003</v>
      </c>
      <c r="L176">
        <v>0.27543429679474396</v>
      </c>
    </row>
    <row r="177" spans="1:12" x14ac:dyDescent="0.35">
      <c r="A177" t="s">
        <v>709</v>
      </c>
      <c r="B177" s="1">
        <v>46154</v>
      </c>
      <c r="C177" t="s">
        <v>12</v>
      </c>
      <c r="D177" t="s">
        <v>23</v>
      </c>
      <c r="E177" t="s">
        <v>109</v>
      </c>
      <c r="F177" t="s">
        <v>38</v>
      </c>
      <c r="G177">
        <v>418215.45</v>
      </c>
      <c r="H177">
        <v>342587.46</v>
      </c>
      <c r="I177" t="s">
        <v>49</v>
      </c>
      <c r="J177" t="s">
        <v>19</v>
      </c>
      <c r="K177">
        <v>75627.989999999991</v>
      </c>
      <c r="L177">
        <v>0.1808349978462058</v>
      </c>
    </row>
    <row r="178" spans="1:12" x14ac:dyDescent="0.35">
      <c r="A178" t="s">
        <v>712</v>
      </c>
      <c r="B178" s="1">
        <v>46078</v>
      </c>
      <c r="C178" t="s">
        <v>12</v>
      </c>
      <c r="D178" t="s">
        <v>53</v>
      </c>
      <c r="E178" t="s">
        <v>109</v>
      </c>
      <c r="F178" t="s">
        <v>46</v>
      </c>
      <c r="G178">
        <v>411169.28000000003</v>
      </c>
      <c r="H178">
        <v>339037.69</v>
      </c>
      <c r="I178" t="s">
        <v>18</v>
      </c>
      <c r="J178" t="s">
        <v>41</v>
      </c>
      <c r="K178">
        <v>72131.590000000026</v>
      </c>
      <c r="L178">
        <v>0.17543039694016055</v>
      </c>
    </row>
    <row r="179" spans="1:12" x14ac:dyDescent="0.35">
      <c r="A179" t="s">
        <v>715</v>
      </c>
      <c r="B179" s="1">
        <v>46127</v>
      </c>
      <c r="C179" t="s">
        <v>99</v>
      </c>
      <c r="D179" t="s">
        <v>36</v>
      </c>
      <c r="E179" t="s">
        <v>37</v>
      </c>
      <c r="F179" t="s">
        <v>25</v>
      </c>
      <c r="G179">
        <v>265239.81</v>
      </c>
      <c r="H179">
        <v>143495.74</v>
      </c>
      <c r="I179" t="s">
        <v>32</v>
      </c>
      <c r="J179" t="s">
        <v>41</v>
      </c>
      <c r="K179">
        <v>121744.07</v>
      </c>
      <c r="L179">
        <v>0.45899621930810464</v>
      </c>
    </row>
    <row r="180" spans="1:12" x14ac:dyDescent="0.35">
      <c r="A180" t="s">
        <v>718</v>
      </c>
      <c r="B180" s="1">
        <v>46186</v>
      </c>
      <c r="C180" t="s">
        <v>12</v>
      </c>
      <c r="D180" t="s">
        <v>23</v>
      </c>
      <c r="E180" t="s">
        <v>24</v>
      </c>
      <c r="F180" t="s">
        <v>79</v>
      </c>
      <c r="G180">
        <v>53366.13</v>
      </c>
      <c r="H180">
        <v>27572.82</v>
      </c>
      <c r="I180" t="s">
        <v>32</v>
      </c>
      <c r="J180" t="s">
        <v>41</v>
      </c>
      <c r="K180">
        <v>25793.309999999998</v>
      </c>
      <c r="L180">
        <v>0.4833273463899293</v>
      </c>
    </row>
    <row r="181" spans="1:12" x14ac:dyDescent="0.35">
      <c r="A181" t="s">
        <v>721</v>
      </c>
      <c r="B181" s="1">
        <v>46083</v>
      </c>
      <c r="C181" t="s">
        <v>67</v>
      </c>
      <c r="D181" t="s">
        <v>53</v>
      </c>
      <c r="E181" t="s">
        <v>109</v>
      </c>
      <c r="F181" t="s">
        <v>25</v>
      </c>
      <c r="G181">
        <v>450400.71</v>
      </c>
      <c r="H181">
        <v>283522.92</v>
      </c>
      <c r="I181" t="s">
        <v>32</v>
      </c>
      <c r="J181" t="s">
        <v>41</v>
      </c>
      <c r="K181">
        <v>166877.79000000004</v>
      </c>
      <c r="L181">
        <v>0.37050960687872814</v>
      </c>
    </row>
    <row r="182" spans="1:12" x14ac:dyDescent="0.35">
      <c r="A182" t="s">
        <v>724</v>
      </c>
      <c r="B182" s="1">
        <v>46088</v>
      </c>
      <c r="C182" t="s">
        <v>12</v>
      </c>
      <c r="D182" t="s">
        <v>53</v>
      </c>
      <c r="E182" t="s">
        <v>109</v>
      </c>
      <c r="F182" t="s">
        <v>15</v>
      </c>
      <c r="G182">
        <v>260829.21</v>
      </c>
      <c r="H182">
        <v>175854.36</v>
      </c>
      <c r="I182" t="s">
        <v>32</v>
      </c>
      <c r="J182" t="s">
        <v>41</v>
      </c>
      <c r="K182">
        <v>84974.85</v>
      </c>
      <c r="L182">
        <v>0.32578732266988047</v>
      </c>
    </row>
    <row r="183" spans="1:12" x14ac:dyDescent="0.35">
      <c r="A183" t="s">
        <v>728</v>
      </c>
      <c r="B183" s="1">
        <v>46201</v>
      </c>
      <c r="C183" t="s">
        <v>12</v>
      </c>
      <c r="D183" t="s">
        <v>53</v>
      </c>
      <c r="E183" t="s">
        <v>134</v>
      </c>
      <c r="F183" t="s">
        <v>38</v>
      </c>
      <c r="G183">
        <v>477327.94</v>
      </c>
      <c r="H183">
        <v>342837.04</v>
      </c>
      <c r="I183" t="s">
        <v>49</v>
      </c>
      <c r="J183" t="s">
        <v>41</v>
      </c>
      <c r="K183">
        <v>134490.90000000002</v>
      </c>
      <c r="L183">
        <v>0.28175786231998073</v>
      </c>
    </row>
    <row r="184" spans="1:12" x14ac:dyDescent="0.35">
      <c r="A184" t="s">
        <v>732</v>
      </c>
      <c r="B184" s="1">
        <v>46200</v>
      </c>
      <c r="C184" t="s">
        <v>12</v>
      </c>
      <c r="D184" t="s">
        <v>36</v>
      </c>
      <c r="E184" t="s">
        <v>134</v>
      </c>
      <c r="F184" t="s">
        <v>74</v>
      </c>
      <c r="G184">
        <v>298722.88</v>
      </c>
      <c r="H184">
        <v>138491.85</v>
      </c>
      <c r="I184" t="s">
        <v>32</v>
      </c>
      <c r="J184" t="s">
        <v>19</v>
      </c>
      <c r="K184">
        <v>160231.03</v>
      </c>
      <c r="L184">
        <v>0.53638686798948909</v>
      </c>
    </row>
    <row r="185" spans="1:12" x14ac:dyDescent="0.35">
      <c r="A185" t="s">
        <v>735</v>
      </c>
      <c r="B185" s="1">
        <v>46129</v>
      </c>
      <c r="C185" t="s">
        <v>52</v>
      </c>
      <c r="D185" t="s">
        <v>53</v>
      </c>
      <c r="E185" t="s">
        <v>37</v>
      </c>
      <c r="F185" t="s">
        <v>25</v>
      </c>
      <c r="G185">
        <v>282369.34000000003</v>
      </c>
      <c r="H185">
        <v>234063.84</v>
      </c>
      <c r="I185" t="s">
        <v>32</v>
      </c>
      <c r="J185" t="s">
        <v>19</v>
      </c>
      <c r="K185">
        <v>48305.500000000029</v>
      </c>
      <c r="L185">
        <v>0.17107204344494351</v>
      </c>
    </row>
    <row r="186" spans="1:12" x14ac:dyDescent="0.35">
      <c r="A186" t="s">
        <v>739</v>
      </c>
      <c r="B186" s="1">
        <v>46106</v>
      </c>
      <c r="C186" t="s">
        <v>52</v>
      </c>
      <c r="D186" t="s">
        <v>36</v>
      </c>
      <c r="E186" t="s">
        <v>24</v>
      </c>
      <c r="F186" t="s">
        <v>46</v>
      </c>
      <c r="G186">
        <v>98280.85</v>
      </c>
      <c r="H186">
        <v>68132.160000000003</v>
      </c>
      <c r="I186" t="s">
        <v>32</v>
      </c>
      <c r="J186" t="s">
        <v>41</v>
      </c>
      <c r="K186">
        <v>30148.690000000002</v>
      </c>
      <c r="L186">
        <v>0.30676057441505644</v>
      </c>
    </row>
    <row r="187" spans="1:12" x14ac:dyDescent="0.35">
      <c r="A187" t="s">
        <v>742</v>
      </c>
      <c r="B187" s="1">
        <v>46165</v>
      </c>
      <c r="C187" t="s">
        <v>12</v>
      </c>
      <c r="D187" t="s">
        <v>23</v>
      </c>
      <c r="E187" t="s">
        <v>37</v>
      </c>
      <c r="F187" t="s">
        <v>46</v>
      </c>
      <c r="G187">
        <v>273679.13</v>
      </c>
      <c r="H187">
        <v>111993.85</v>
      </c>
      <c r="I187" t="s">
        <v>18</v>
      </c>
      <c r="J187" t="s">
        <v>19</v>
      </c>
      <c r="K187">
        <v>161685.28</v>
      </c>
      <c r="L187">
        <v>0.59078410545955773</v>
      </c>
    </row>
    <row r="188" spans="1:12" x14ac:dyDescent="0.35">
      <c r="A188" t="s">
        <v>746</v>
      </c>
      <c r="B188" s="1">
        <v>46062</v>
      </c>
      <c r="C188" t="s">
        <v>12</v>
      </c>
      <c r="D188" t="s">
        <v>36</v>
      </c>
      <c r="E188" t="s">
        <v>37</v>
      </c>
      <c r="F188" t="s">
        <v>15</v>
      </c>
      <c r="G188">
        <v>392396.42</v>
      </c>
      <c r="H188">
        <v>289757.21000000002</v>
      </c>
      <c r="I188" t="s">
        <v>32</v>
      </c>
      <c r="J188" t="s">
        <v>19</v>
      </c>
      <c r="K188">
        <v>102639.20999999996</v>
      </c>
      <c r="L188">
        <v>0.26157019985044705</v>
      </c>
    </row>
    <row r="189" spans="1:12" x14ac:dyDescent="0.35">
      <c r="A189" t="s">
        <v>750</v>
      </c>
      <c r="B189" s="1">
        <v>46148</v>
      </c>
      <c r="C189" t="s">
        <v>12</v>
      </c>
      <c r="D189" t="s">
        <v>36</v>
      </c>
      <c r="E189" t="s">
        <v>24</v>
      </c>
      <c r="F189" t="s">
        <v>15</v>
      </c>
      <c r="G189">
        <v>295110.03000000003</v>
      </c>
      <c r="H189">
        <v>200967.35</v>
      </c>
      <c r="I189" t="s">
        <v>49</v>
      </c>
      <c r="J189" t="s">
        <v>41</v>
      </c>
      <c r="K189">
        <v>94142.680000000022</v>
      </c>
      <c r="L189">
        <v>0.31900874395899054</v>
      </c>
    </row>
    <row r="190" spans="1:12" x14ac:dyDescent="0.35">
      <c r="A190" t="s">
        <v>754</v>
      </c>
      <c r="B190" s="1">
        <v>46038</v>
      </c>
      <c r="C190" t="s">
        <v>99</v>
      </c>
      <c r="D190" t="s">
        <v>36</v>
      </c>
      <c r="E190" t="s">
        <v>14</v>
      </c>
      <c r="F190" t="s">
        <v>46</v>
      </c>
      <c r="G190">
        <v>346767.59</v>
      </c>
      <c r="H190">
        <v>204654.39</v>
      </c>
      <c r="I190" t="s">
        <v>32</v>
      </c>
      <c r="J190" t="s">
        <v>41</v>
      </c>
      <c r="K190">
        <v>142113.20000000001</v>
      </c>
      <c r="L190">
        <v>0.40982261346857707</v>
      </c>
    </row>
    <row r="191" spans="1:12" x14ac:dyDescent="0.35">
      <c r="A191" t="s">
        <v>758</v>
      </c>
      <c r="B191" s="1">
        <v>46136</v>
      </c>
      <c r="C191" t="s">
        <v>67</v>
      </c>
      <c r="D191" t="s">
        <v>53</v>
      </c>
      <c r="E191" t="s">
        <v>134</v>
      </c>
      <c r="F191" t="s">
        <v>15</v>
      </c>
      <c r="G191">
        <v>128868.48</v>
      </c>
      <c r="H191">
        <v>84501.72</v>
      </c>
      <c r="I191" t="s">
        <v>49</v>
      </c>
      <c r="J191" t="s">
        <v>41</v>
      </c>
      <c r="K191">
        <v>44366.759999999995</v>
      </c>
      <c r="L191">
        <v>0.34427937692754657</v>
      </c>
    </row>
    <row r="192" spans="1:12" x14ac:dyDescent="0.35">
      <c r="A192" t="s">
        <v>762</v>
      </c>
      <c r="B192" s="1">
        <v>46042</v>
      </c>
      <c r="C192" t="s">
        <v>3383</v>
      </c>
      <c r="D192" t="s">
        <v>53</v>
      </c>
      <c r="E192" t="s">
        <v>24</v>
      </c>
      <c r="F192" t="s">
        <v>38</v>
      </c>
      <c r="G192">
        <v>111782.03</v>
      </c>
      <c r="H192">
        <v>83694.350000000006</v>
      </c>
      <c r="I192" t="s">
        <v>49</v>
      </c>
      <c r="J192" t="s">
        <v>41</v>
      </c>
      <c r="K192">
        <v>28087.679999999993</v>
      </c>
      <c r="L192">
        <v>0.25127187258989653</v>
      </c>
    </row>
    <row r="193" spans="1:12" x14ac:dyDescent="0.35">
      <c r="A193" t="s">
        <v>766</v>
      </c>
      <c r="B193" s="1">
        <v>46050</v>
      </c>
      <c r="C193" t="s">
        <v>67</v>
      </c>
      <c r="D193" t="s">
        <v>23</v>
      </c>
      <c r="E193" t="s">
        <v>134</v>
      </c>
      <c r="F193" t="s">
        <v>25</v>
      </c>
      <c r="G193">
        <v>395981.19</v>
      </c>
      <c r="H193">
        <v>227408.52</v>
      </c>
      <c r="I193" t="s">
        <v>32</v>
      </c>
      <c r="J193" t="s">
        <v>19</v>
      </c>
      <c r="K193">
        <v>168572.67</v>
      </c>
      <c r="L193">
        <v>0.42570878177319488</v>
      </c>
    </row>
    <row r="194" spans="1:12" x14ac:dyDescent="0.35">
      <c r="A194" t="s">
        <v>770</v>
      </c>
      <c r="B194" s="1">
        <v>46054</v>
      </c>
      <c r="C194" t="s">
        <v>12</v>
      </c>
      <c r="D194" t="s">
        <v>36</v>
      </c>
      <c r="E194" t="s">
        <v>24</v>
      </c>
      <c r="F194" t="s">
        <v>15</v>
      </c>
      <c r="G194">
        <v>287572.07</v>
      </c>
      <c r="H194">
        <v>187963.7</v>
      </c>
      <c r="I194" t="s">
        <v>32</v>
      </c>
      <c r="J194" t="s">
        <v>19</v>
      </c>
      <c r="K194">
        <v>99608.37</v>
      </c>
      <c r="L194">
        <v>0.3463770664515507</v>
      </c>
    </row>
    <row r="195" spans="1:12" x14ac:dyDescent="0.35">
      <c r="A195" t="s">
        <v>774</v>
      </c>
      <c r="B195" s="1">
        <v>46154</v>
      </c>
      <c r="C195" t="s">
        <v>99</v>
      </c>
      <c r="D195" t="s">
        <v>23</v>
      </c>
      <c r="E195" t="s">
        <v>134</v>
      </c>
      <c r="F195" t="s">
        <v>74</v>
      </c>
      <c r="G195">
        <v>214314.38</v>
      </c>
      <c r="H195">
        <v>170869.29</v>
      </c>
      <c r="I195" t="s">
        <v>49</v>
      </c>
      <c r="J195" t="s">
        <v>41</v>
      </c>
      <c r="K195">
        <v>43445.09</v>
      </c>
      <c r="L195">
        <v>0.20271663525331335</v>
      </c>
    </row>
    <row r="196" spans="1:12" x14ac:dyDescent="0.35">
      <c r="A196" t="s">
        <v>777</v>
      </c>
      <c r="B196" s="1">
        <v>46063</v>
      </c>
      <c r="C196" t="s">
        <v>99</v>
      </c>
      <c r="D196" t="s">
        <v>53</v>
      </c>
      <c r="E196" t="s">
        <v>24</v>
      </c>
      <c r="F196" t="s">
        <v>79</v>
      </c>
      <c r="G196">
        <v>255227.84</v>
      </c>
      <c r="H196">
        <v>164625.74</v>
      </c>
      <c r="I196" t="s">
        <v>49</v>
      </c>
      <c r="J196" t="s">
        <v>41</v>
      </c>
      <c r="K196">
        <v>90602.1</v>
      </c>
      <c r="L196">
        <v>0.35498517716562583</v>
      </c>
    </row>
    <row r="197" spans="1:12" x14ac:dyDescent="0.35">
      <c r="A197" t="s">
        <v>781</v>
      </c>
      <c r="B197" s="1">
        <v>46201</v>
      </c>
      <c r="C197" t="s">
        <v>52</v>
      </c>
      <c r="D197" t="s">
        <v>53</v>
      </c>
      <c r="E197" t="s">
        <v>109</v>
      </c>
      <c r="F197" t="s">
        <v>74</v>
      </c>
      <c r="G197">
        <v>451461.34</v>
      </c>
      <c r="H197">
        <v>279974.28999999998</v>
      </c>
      <c r="I197" t="s">
        <v>18</v>
      </c>
      <c r="J197" t="s">
        <v>19</v>
      </c>
      <c r="K197">
        <v>171487.05000000005</v>
      </c>
      <c r="L197">
        <v>0.37984880388650782</v>
      </c>
    </row>
    <row r="198" spans="1:12" x14ac:dyDescent="0.35">
      <c r="A198" t="s">
        <v>785</v>
      </c>
      <c r="B198" s="1">
        <v>46113</v>
      </c>
      <c r="C198" t="s">
        <v>52</v>
      </c>
      <c r="D198" t="s">
        <v>53</v>
      </c>
      <c r="E198" t="s">
        <v>14</v>
      </c>
      <c r="F198" t="s">
        <v>25</v>
      </c>
      <c r="G198">
        <v>414325.37</v>
      </c>
      <c r="H198">
        <v>305174.51</v>
      </c>
      <c r="I198" t="s">
        <v>32</v>
      </c>
      <c r="J198" t="s">
        <v>41</v>
      </c>
      <c r="K198">
        <v>109150.85999999999</v>
      </c>
      <c r="L198">
        <v>0.26344237621751232</v>
      </c>
    </row>
    <row r="199" spans="1:12" x14ac:dyDescent="0.35">
      <c r="A199" t="s">
        <v>789</v>
      </c>
      <c r="B199" s="1">
        <v>46124</v>
      </c>
      <c r="C199" t="s">
        <v>12</v>
      </c>
      <c r="D199" t="s">
        <v>23</v>
      </c>
      <c r="E199" t="s">
        <v>37</v>
      </c>
      <c r="F199" t="s">
        <v>46</v>
      </c>
      <c r="G199">
        <v>477772.39</v>
      </c>
      <c r="H199">
        <v>252617.42</v>
      </c>
      <c r="I199" t="s">
        <v>32</v>
      </c>
      <c r="J199" t="s">
        <v>41</v>
      </c>
      <c r="K199">
        <v>225154.97</v>
      </c>
      <c r="L199">
        <v>0.47125990264946033</v>
      </c>
    </row>
    <row r="200" spans="1:12" x14ac:dyDescent="0.35">
      <c r="A200" t="s">
        <v>793</v>
      </c>
      <c r="B200" s="1">
        <v>46088</v>
      </c>
      <c r="C200" t="s">
        <v>3383</v>
      </c>
      <c r="D200" t="s">
        <v>23</v>
      </c>
      <c r="E200" t="s">
        <v>37</v>
      </c>
      <c r="F200" t="s">
        <v>79</v>
      </c>
      <c r="G200">
        <v>332226.03999999998</v>
      </c>
      <c r="H200">
        <v>235178.93</v>
      </c>
      <c r="I200" t="s">
        <v>18</v>
      </c>
      <c r="J200" t="s">
        <v>19</v>
      </c>
      <c r="K200">
        <v>97047.109999999986</v>
      </c>
      <c r="L200">
        <v>0.29211168998071313</v>
      </c>
    </row>
    <row r="201" spans="1:12" x14ac:dyDescent="0.35">
      <c r="A201" t="s">
        <v>796</v>
      </c>
      <c r="B201" s="1">
        <v>46046</v>
      </c>
      <c r="C201" t="s">
        <v>67</v>
      </c>
      <c r="D201" t="s">
        <v>36</v>
      </c>
      <c r="E201" t="s">
        <v>37</v>
      </c>
      <c r="F201" t="s">
        <v>15</v>
      </c>
      <c r="G201">
        <v>129916.97</v>
      </c>
      <c r="H201">
        <v>54224.76</v>
      </c>
      <c r="I201" t="s">
        <v>32</v>
      </c>
      <c r="J201" t="s">
        <v>19</v>
      </c>
      <c r="K201">
        <v>75692.209999999992</v>
      </c>
      <c r="L201">
        <v>0.58261988406903265</v>
      </c>
    </row>
    <row r="202" spans="1:12" x14ac:dyDescent="0.35">
      <c r="A202" t="s">
        <v>800</v>
      </c>
      <c r="B202" s="1">
        <v>46168</v>
      </c>
      <c r="C202" t="s">
        <v>12</v>
      </c>
      <c r="D202" t="s">
        <v>53</v>
      </c>
      <c r="E202" t="s">
        <v>109</v>
      </c>
      <c r="F202" t="s">
        <v>46</v>
      </c>
      <c r="G202">
        <v>131295.17000000001</v>
      </c>
      <c r="H202">
        <v>54790.91</v>
      </c>
      <c r="I202" t="s">
        <v>18</v>
      </c>
      <c r="J202" t="s">
        <v>41</v>
      </c>
      <c r="K202">
        <v>76504.260000000009</v>
      </c>
      <c r="L202">
        <v>0.58268906617052252</v>
      </c>
    </row>
    <row r="203" spans="1:12" x14ac:dyDescent="0.35">
      <c r="A203" t="s">
        <v>804</v>
      </c>
      <c r="B203" s="1">
        <v>46120</v>
      </c>
      <c r="C203" t="s">
        <v>12</v>
      </c>
      <c r="D203" t="s">
        <v>36</v>
      </c>
      <c r="E203" t="s">
        <v>24</v>
      </c>
      <c r="F203" t="s">
        <v>38</v>
      </c>
      <c r="G203">
        <v>153136.53</v>
      </c>
      <c r="H203">
        <v>83308.479999999996</v>
      </c>
      <c r="I203" t="s">
        <v>18</v>
      </c>
      <c r="J203" t="s">
        <v>41</v>
      </c>
      <c r="K203">
        <v>69828.05</v>
      </c>
      <c r="L203">
        <v>0.45598558358348595</v>
      </c>
    </row>
    <row r="204" spans="1:12" x14ac:dyDescent="0.35">
      <c r="A204" t="s">
        <v>808</v>
      </c>
      <c r="B204" s="1">
        <v>46202</v>
      </c>
      <c r="C204" t="s">
        <v>12</v>
      </c>
      <c r="D204" t="s">
        <v>23</v>
      </c>
      <c r="E204" t="s">
        <v>14</v>
      </c>
      <c r="F204" t="s">
        <v>38</v>
      </c>
      <c r="G204">
        <v>416535.42</v>
      </c>
      <c r="H204">
        <v>167103.72</v>
      </c>
      <c r="I204" t="s">
        <v>18</v>
      </c>
      <c r="J204" t="s">
        <v>19</v>
      </c>
      <c r="K204">
        <v>249431.69999999998</v>
      </c>
      <c r="L204">
        <v>0.59882470499147467</v>
      </c>
    </row>
    <row r="205" spans="1:12" x14ac:dyDescent="0.35">
      <c r="A205" t="s">
        <v>812</v>
      </c>
      <c r="B205" s="1">
        <v>46180</v>
      </c>
      <c r="C205" t="s">
        <v>12</v>
      </c>
      <c r="D205" t="s">
        <v>23</v>
      </c>
      <c r="E205" t="s">
        <v>134</v>
      </c>
      <c r="F205" t="s">
        <v>25</v>
      </c>
      <c r="G205">
        <v>463512.82</v>
      </c>
      <c r="H205">
        <v>343003.28</v>
      </c>
      <c r="I205" t="s">
        <v>18</v>
      </c>
      <c r="J205" t="s">
        <v>19</v>
      </c>
      <c r="K205">
        <v>120509.53999999998</v>
      </c>
      <c r="L205">
        <v>0.25999181640758068</v>
      </c>
    </row>
    <row r="206" spans="1:12" x14ac:dyDescent="0.35">
      <c r="A206" t="s">
        <v>816</v>
      </c>
      <c r="B206" s="1">
        <v>46027</v>
      </c>
      <c r="C206" t="s">
        <v>52</v>
      </c>
      <c r="D206" t="s">
        <v>53</v>
      </c>
      <c r="E206" t="s">
        <v>24</v>
      </c>
      <c r="F206" t="s">
        <v>74</v>
      </c>
      <c r="G206">
        <v>413927.96</v>
      </c>
      <c r="H206">
        <v>249948.51</v>
      </c>
      <c r="I206" t="s">
        <v>32</v>
      </c>
      <c r="J206" t="s">
        <v>19</v>
      </c>
      <c r="K206">
        <v>163979.45000000001</v>
      </c>
      <c r="L206">
        <v>0.39615456274082089</v>
      </c>
    </row>
    <row r="207" spans="1:12" x14ac:dyDescent="0.35">
      <c r="A207" t="s">
        <v>820</v>
      </c>
      <c r="B207" s="1">
        <v>46025</v>
      </c>
      <c r="C207" t="s">
        <v>52</v>
      </c>
      <c r="D207" t="s">
        <v>53</v>
      </c>
      <c r="E207" t="s">
        <v>14</v>
      </c>
      <c r="F207" t="s">
        <v>15</v>
      </c>
      <c r="G207">
        <v>266121.26</v>
      </c>
      <c r="H207">
        <v>199737.11</v>
      </c>
      <c r="I207" t="s">
        <v>18</v>
      </c>
      <c r="J207" t="s">
        <v>19</v>
      </c>
      <c r="K207">
        <v>66384.150000000023</v>
      </c>
      <c r="L207">
        <v>0.24945075789886167</v>
      </c>
    </row>
    <row r="208" spans="1:12" x14ac:dyDescent="0.35">
      <c r="A208" t="s">
        <v>823</v>
      </c>
      <c r="B208" s="1">
        <v>46162</v>
      </c>
      <c r="C208" t="s">
        <v>12</v>
      </c>
      <c r="D208" t="s">
        <v>53</v>
      </c>
      <c r="E208" t="s">
        <v>45</v>
      </c>
      <c r="F208" t="s">
        <v>25</v>
      </c>
      <c r="G208">
        <v>125727.98</v>
      </c>
      <c r="H208">
        <v>59125.61</v>
      </c>
      <c r="I208" t="s">
        <v>32</v>
      </c>
      <c r="J208" t="s">
        <v>19</v>
      </c>
      <c r="K208">
        <v>66602.37</v>
      </c>
      <c r="L208">
        <v>0.52973387467133404</v>
      </c>
    </row>
    <row r="209" spans="1:12" x14ac:dyDescent="0.35">
      <c r="A209" t="s">
        <v>826</v>
      </c>
      <c r="B209" s="1">
        <v>46039</v>
      </c>
      <c r="C209" t="s">
        <v>12</v>
      </c>
      <c r="D209" t="s">
        <v>53</v>
      </c>
      <c r="E209" t="s">
        <v>109</v>
      </c>
      <c r="F209" t="s">
        <v>46</v>
      </c>
      <c r="G209">
        <v>493830.84</v>
      </c>
      <c r="H209">
        <v>291368.74</v>
      </c>
      <c r="I209" t="s">
        <v>49</v>
      </c>
      <c r="J209" t="s">
        <v>19</v>
      </c>
      <c r="K209">
        <v>202462.10000000003</v>
      </c>
      <c r="L209">
        <v>0.40998269771891932</v>
      </c>
    </row>
    <row r="210" spans="1:12" x14ac:dyDescent="0.35">
      <c r="A210" t="s">
        <v>830</v>
      </c>
      <c r="B210" s="1">
        <v>46133</v>
      </c>
      <c r="C210" t="s">
        <v>67</v>
      </c>
      <c r="D210" t="s">
        <v>53</v>
      </c>
      <c r="E210" t="s">
        <v>14</v>
      </c>
      <c r="F210" t="s">
        <v>25</v>
      </c>
      <c r="G210">
        <v>311761.15999999997</v>
      </c>
      <c r="H210">
        <v>201229.11</v>
      </c>
      <c r="I210" t="s">
        <v>18</v>
      </c>
      <c r="J210" t="s">
        <v>41</v>
      </c>
      <c r="K210">
        <v>110532.04999999999</v>
      </c>
      <c r="L210">
        <v>0.35454079655079546</v>
      </c>
    </row>
    <row r="211" spans="1:12" x14ac:dyDescent="0.35">
      <c r="A211" t="s">
        <v>833</v>
      </c>
      <c r="B211" s="1">
        <v>46159</v>
      </c>
      <c r="C211" t="s">
        <v>12</v>
      </c>
      <c r="D211" t="s">
        <v>23</v>
      </c>
      <c r="E211" t="s">
        <v>134</v>
      </c>
      <c r="F211" t="s">
        <v>79</v>
      </c>
      <c r="G211">
        <v>377361.62</v>
      </c>
      <c r="H211">
        <v>299172.49</v>
      </c>
      <c r="I211" t="s">
        <v>32</v>
      </c>
      <c r="J211" t="s">
        <v>19</v>
      </c>
      <c r="K211">
        <v>78189.13</v>
      </c>
      <c r="L211">
        <v>0.20719947619474394</v>
      </c>
    </row>
    <row r="212" spans="1:12" x14ac:dyDescent="0.35">
      <c r="A212" t="s">
        <v>836</v>
      </c>
      <c r="B212" s="1">
        <v>46198</v>
      </c>
      <c r="C212" t="s">
        <v>99</v>
      </c>
      <c r="D212" t="s">
        <v>23</v>
      </c>
      <c r="E212" t="s">
        <v>37</v>
      </c>
      <c r="F212" t="s">
        <v>38</v>
      </c>
      <c r="G212">
        <v>417698.54</v>
      </c>
      <c r="H212">
        <v>262445.88</v>
      </c>
      <c r="I212" t="s">
        <v>18</v>
      </c>
      <c r="J212" t="s">
        <v>41</v>
      </c>
      <c r="K212">
        <v>155252.65999999997</v>
      </c>
      <c r="L212">
        <v>0.37168590534216372</v>
      </c>
    </row>
    <row r="213" spans="1:12" x14ac:dyDescent="0.35">
      <c r="A213" t="s">
        <v>840</v>
      </c>
      <c r="B213" s="1">
        <v>46081</v>
      </c>
      <c r="C213" t="s">
        <v>12</v>
      </c>
      <c r="D213" t="s">
        <v>23</v>
      </c>
      <c r="E213" t="s">
        <v>45</v>
      </c>
      <c r="F213" t="s">
        <v>15</v>
      </c>
      <c r="G213">
        <v>57628.18</v>
      </c>
      <c r="H213">
        <v>33928.120000000003</v>
      </c>
      <c r="I213" t="s">
        <v>18</v>
      </c>
      <c r="J213" t="s">
        <v>41</v>
      </c>
      <c r="K213">
        <v>23700.059999999998</v>
      </c>
      <c r="L213">
        <v>0.41125817265094955</v>
      </c>
    </row>
    <row r="214" spans="1:12" x14ac:dyDescent="0.35">
      <c r="A214" t="s">
        <v>844</v>
      </c>
      <c r="B214" s="1">
        <v>46183</v>
      </c>
      <c r="C214" t="s">
        <v>52</v>
      </c>
      <c r="D214" t="s">
        <v>23</v>
      </c>
      <c r="E214" t="s">
        <v>24</v>
      </c>
      <c r="F214" t="s">
        <v>74</v>
      </c>
      <c r="G214">
        <v>57997.53</v>
      </c>
      <c r="H214">
        <v>23368.45</v>
      </c>
      <c r="I214" t="s">
        <v>49</v>
      </c>
      <c r="J214" t="s">
        <v>19</v>
      </c>
      <c r="K214">
        <v>34629.08</v>
      </c>
      <c r="L214">
        <v>0.59707853075812023</v>
      </c>
    </row>
    <row r="215" spans="1:12" x14ac:dyDescent="0.35">
      <c r="A215" t="s">
        <v>848</v>
      </c>
      <c r="B215" s="1">
        <v>46167</v>
      </c>
      <c r="C215" t="s">
        <v>67</v>
      </c>
      <c r="D215" t="s">
        <v>23</v>
      </c>
      <c r="E215" t="s">
        <v>45</v>
      </c>
      <c r="F215" t="s">
        <v>79</v>
      </c>
      <c r="G215">
        <v>441230.23</v>
      </c>
      <c r="H215">
        <v>325972.89</v>
      </c>
      <c r="I215" t="s">
        <v>32</v>
      </c>
      <c r="J215" t="s">
        <v>19</v>
      </c>
      <c r="K215">
        <v>115257.33999999997</v>
      </c>
      <c r="L215">
        <v>0.26121814001728749</v>
      </c>
    </row>
    <row r="216" spans="1:12" x14ac:dyDescent="0.35">
      <c r="A216" t="s">
        <v>852</v>
      </c>
      <c r="B216" s="1">
        <v>46107</v>
      </c>
      <c r="C216" t="s">
        <v>67</v>
      </c>
      <c r="D216" t="s">
        <v>53</v>
      </c>
      <c r="E216" t="s">
        <v>45</v>
      </c>
      <c r="F216" t="s">
        <v>15</v>
      </c>
      <c r="G216">
        <v>124722</v>
      </c>
      <c r="H216">
        <v>96895.23</v>
      </c>
      <c r="I216" t="s">
        <v>32</v>
      </c>
      <c r="J216" t="s">
        <v>41</v>
      </c>
      <c r="K216">
        <v>27826.770000000004</v>
      </c>
      <c r="L216">
        <v>0.22311035743493532</v>
      </c>
    </row>
    <row r="217" spans="1:12" x14ac:dyDescent="0.35">
      <c r="A217" t="s">
        <v>856</v>
      </c>
      <c r="B217" s="1">
        <v>46188</v>
      </c>
      <c r="C217" t="s">
        <v>3383</v>
      </c>
      <c r="D217" t="s">
        <v>53</v>
      </c>
      <c r="E217" t="s">
        <v>45</v>
      </c>
      <c r="F217" t="s">
        <v>38</v>
      </c>
      <c r="G217">
        <v>472735.1</v>
      </c>
      <c r="H217">
        <v>211745.16</v>
      </c>
      <c r="I217" t="s">
        <v>18</v>
      </c>
      <c r="J217" t="s">
        <v>41</v>
      </c>
      <c r="K217">
        <v>260989.93999999997</v>
      </c>
      <c r="L217">
        <v>0.55208496259321549</v>
      </c>
    </row>
    <row r="218" spans="1:12" x14ac:dyDescent="0.35">
      <c r="A218" t="s">
        <v>860</v>
      </c>
      <c r="B218" s="1">
        <v>46031</v>
      </c>
      <c r="C218" t="s">
        <v>12</v>
      </c>
      <c r="D218" t="s">
        <v>36</v>
      </c>
      <c r="E218" t="s">
        <v>24</v>
      </c>
      <c r="F218" t="s">
        <v>79</v>
      </c>
      <c r="G218">
        <v>107310.35</v>
      </c>
      <c r="H218">
        <v>88254.04</v>
      </c>
      <c r="I218" t="s">
        <v>49</v>
      </c>
      <c r="J218" t="s">
        <v>19</v>
      </c>
      <c r="K218">
        <v>19056.310000000012</v>
      </c>
      <c r="L218">
        <v>0.17758128642763732</v>
      </c>
    </row>
    <row r="219" spans="1:12" x14ac:dyDescent="0.35">
      <c r="A219" t="s">
        <v>863</v>
      </c>
      <c r="B219" s="1">
        <v>46051</v>
      </c>
      <c r="C219" t="s">
        <v>99</v>
      </c>
      <c r="D219" t="s">
        <v>36</v>
      </c>
      <c r="E219" t="s">
        <v>24</v>
      </c>
      <c r="F219" t="s">
        <v>46</v>
      </c>
      <c r="G219">
        <v>145568.67000000001</v>
      </c>
      <c r="H219">
        <v>66446.740000000005</v>
      </c>
      <c r="I219" t="s">
        <v>49</v>
      </c>
      <c r="J219" t="s">
        <v>41</v>
      </c>
      <c r="K219">
        <v>79121.930000000008</v>
      </c>
      <c r="L219">
        <v>0.54353680637461343</v>
      </c>
    </row>
    <row r="220" spans="1:12" x14ac:dyDescent="0.35">
      <c r="A220" t="s">
        <v>866</v>
      </c>
      <c r="B220" s="1">
        <v>46199</v>
      </c>
      <c r="C220" t="s">
        <v>12</v>
      </c>
      <c r="D220" t="s">
        <v>53</v>
      </c>
      <c r="E220" t="s">
        <v>14</v>
      </c>
      <c r="F220" t="s">
        <v>79</v>
      </c>
      <c r="G220">
        <v>198266.43</v>
      </c>
      <c r="H220">
        <v>131057.38</v>
      </c>
      <c r="I220" t="s">
        <v>32</v>
      </c>
      <c r="J220" t="s">
        <v>19</v>
      </c>
      <c r="K220">
        <v>67209.049999999988</v>
      </c>
      <c r="L220">
        <v>0.33898350820156486</v>
      </c>
    </row>
    <row r="221" spans="1:12" x14ac:dyDescent="0.35">
      <c r="A221" t="s">
        <v>870</v>
      </c>
      <c r="B221" s="1">
        <v>46079</v>
      </c>
      <c r="C221" t="s">
        <v>12</v>
      </c>
      <c r="D221" t="s">
        <v>36</v>
      </c>
      <c r="E221" t="s">
        <v>24</v>
      </c>
      <c r="F221" t="s">
        <v>74</v>
      </c>
      <c r="G221">
        <v>334984.53999999998</v>
      </c>
      <c r="H221">
        <v>199209.94</v>
      </c>
      <c r="I221" t="s">
        <v>32</v>
      </c>
      <c r="J221" t="s">
        <v>41</v>
      </c>
      <c r="K221">
        <v>135774.59999999998</v>
      </c>
      <c r="L221">
        <v>0.40531601846461329</v>
      </c>
    </row>
    <row r="222" spans="1:12" x14ac:dyDescent="0.35">
      <c r="A222" t="s">
        <v>874</v>
      </c>
      <c r="B222" s="1">
        <v>46094</v>
      </c>
      <c r="C222" t="s">
        <v>12</v>
      </c>
      <c r="D222" t="s">
        <v>23</v>
      </c>
      <c r="E222" t="s">
        <v>14</v>
      </c>
      <c r="F222" t="s">
        <v>38</v>
      </c>
      <c r="G222">
        <v>215245.7</v>
      </c>
      <c r="H222">
        <v>88851.37</v>
      </c>
      <c r="I222" t="s">
        <v>18</v>
      </c>
      <c r="J222" t="s">
        <v>19</v>
      </c>
      <c r="K222">
        <v>126394.33000000002</v>
      </c>
      <c r="L222">
        <v>0.58720954704321626</v>
      </c>
    </row>
    <row r="223" spans="1:12" x14ac:dyDescent="0.35">
      <c r="A223" t="s">
        <v>877</v>
      </c>
      <c r="B223" s="1">
        <v>46183</v>
      </c>
      <c r="C223" t="s">
        <v>3383</v>
      </c>
      <c r="D223" t="s">
        <v>53</v>
      </c>
      <c r="E223" t="s">
        <v>109</v>
      </c>
      <c r="F223" t="s">
        <v>15</v>
      </c>
      <c r="G223">
        <v>492517.41</v>
      </c>
      <c r="H223">
        <v>367255.13</v>
      </c>
      <c r="I223" t="s">
        <v>18</v>
      </c>
      <c r="J223" t="s">
        <v>41</v>
      </c>
      <c r="K223">
        <v>125262.27999999997</v>
      </c>
      <c r="L223">
        <v>0.25433066416880568</v>
      </c>
    </row>
    <row r="224" spans="1:12" x14ac:dyDescent="0.35">
      <c r="A224" t="s">
        <v>880</v>
      </c>
      <c r="B224" s="1">
        <v>46058</v>
      </c>
      <c r="C224" t="s">
        <v>12</v>
      </c>
      <c r="D224" t="s">
        <v>23</v>
      </c>
      <c r="E224" t="s">
        <v>24</v>
      </c>
      <c r="F224" t="s">
        <v>79</v>
      </c>
      <c r="G224">
        <v>419941.83</v>
      </c>
      <c r="H224">
        <v>286478.56</v>
      </c>
      <c r="I224" t="s">
        <v>49</v>
      </c>
      <c r="J224" t="s">
        <v>19</v>
      </c>
      <c r="K224">
        <v>133463.27000000002</v>
      </c>
      <c r="L224">
        <v>0.31781370767470346</v>
      </c>
    </row>
    <row r="225" spans="1:12" x14ac:dyDescent="0.35">
      <c r="A225" t="s">
        <v>883</v>
      </c>
      <c r="B225" s="1">
        <v>46123</v>
      </c>
      <c r="C225" t="s">
        <v>67</v>
      </c>
      <c r="D225" t="s">
        <v>23</v>
      </c>
      <c r="E225" t="s">
        <v>134</v>
      </c>
      <c r="F225" t="s">
        <v>79</v>
      </c>
      <c r="G225">
        <v>59612.62</v>
      </c>
      <c r="H225">
        <v>42088.88</v>
      </c>
      <c r="I225" t="s">
        <v>18</v>
      </c>
      <c r="J225" t="s">
        <v>41</v>
      </c>
      <c r="K225">
        <v>17523.740000000005</v>
      </c>
      <c r="L225">
        <v>0.29396023862061432</v>
      </c>
    </row>
    <row r="226" spans="1:12" x14ac:dyDescent="0.35">
      <c r="A226" t="s">
        <v>886</v>
      </c>
      <c r="B226" s="1">
        <v>46085</v>
      </c>
      <c r="C226" t="s">
        <v>67</v>
      </c>
      <c r="D226" t="s">
        <v>36</v>
      </c>
      <c r="E226" t="s">
        <v>37</v>
      </c>
      <c r="F226" t="s">
        <v>74</v>
      </c>
      <c r="G226">
        <v>389944.97</v>
      </c>
      <c r="H226">
        <v>310429.21999999997</v>
      </c>
      <c r="I226" t="s">
        <v>18</v>
      </c>
      <c r="J226" t="s">
        <v>41</v>
      </c>
      <c r="K226">
        <v>79515.75</v>
      </c>
      <c r="L226">
        <v>0.20391531143484171</v>
      </c>
    </row>
    <row r="227" spans="1:12" x14ac:dyDescent="0.35">
      <c r="A227" t="s">
        <v>890</v>
      </c>
      <c r="B227" s="1">
        <v>46037</v>
      </c>
      <c r="C227" t="s">
        <v>12</v>
      </c>
      <c r="D227" t="s">
        <v>23</v>
      </c>
      <c r="E227" t="s">
        <v>45</v>
      </c>
      <c r="F227" t="s">
        <v>79</v>
      </c>
      <c r="G227">
        <v>329296.08</v>
      </c>
      <c r="H227">
        <v>138328.24</v>
      </c>
      <c r="I227" t="s">
        <v>18</v>
      </c>
      <c r="J227" t="s">
        <v>19</v>
      </c>
      <c r="K227">
        <v>190967.84000000003</v>
      </c>
      <c r="L227">
        <v>0.57992746224006075</v>
      </c>
    </row>
    <row r="228" spans="1:12" x14ac:dyDescent="0.35">
      <c r="A228" t="s">
        <v>894</v>
      </c>
      <c r="B228" s="1">
        <v>46134</v>
      </c>
      <c r="C228" t="s">
        <v>3383</v>
      </c>
      <c r="D228" t="s">
        <v>36</v>
      </c>
      <c r="E228" t="s">
        <v>134</v>
      </c>
      <c r="F228" t="s">
        <v>38</v>
      </c>
      <c r="G228">
        <v>288499.15000000002</v>
      </c>
      <c r="H228">
        <v>157479.71</v>
      </c>
      <c r="I228" t="s">
        <v>49</v>
      </c>
      <c r="J228" t="s">
        <v>41</v>
      </c>
      <c r="K228">
        <v>131019.44000000003</v>
      </c>
      <c r="L228">
        <v>0.45414151133547542</v>
      </c>
    </row>
    <row r="229" spans="1:12" x14ac:dyDescent="0.35">
      <c r="A229" t="s">
        <v>897</v>
      </c>
      <c r="B229" s="1">
        <v>46076</v>
      </c>
      <c r="C229" t="s">
        <v>67</v>
      </c>
      <c r="D229" t="s">
        <v>36</v>
      </c>
      <c r="E229" t="s">
        <v>45</v>
      </c>
      <c r="F229" t="s">
        <v>46</v>
      </c>
      <c r="G229">
        <v>384059.43</v>
      </c>
      <c r="H229">
        <v>159166.04999999999</v>
      </c>
      <c r="I229" t="s">
        <v>49</v>
      </c>
      <c r="J229" t="s">
        <v>19</v>
      </c>
      <c r="K229">
        <v>224893.38</v>
      </c>
      <c r="L229">
        <v>0.58556921776403204</v>
      </c>
    </row>
    <row r="230" spans="1:12" x14ac:dyDescent="0.35">
      <c r="A230" t="s">
        <v>901</v>
      </c>
      <c r="B230" s="1">
        <v>46185</v>
      </c>
      <c r="C230" t="s">
        <v>52</v>
      </c>
      <c r="D230" t="s">
        <v>36</v>
      </c>
      <c r="E230" t="s">
        <v>134</v>
      </c>
      <c r="F230" t="s">
        <v>25</v>
      </c>
      <c r="G230">
        <v>467948.23</v>
      </c>
      <c r="H230">
        <v>299318.28000000003</v>
      </c>
      <c r="I230" t="s">
        <v>32</v>
      </c>
      <c r="J230" t="s">
        <v>41</v>
      </c>
      <c r="K230">
        <v>168629.94999999995</v>
      </c>
      <c r="L230">
        <v>0.36036026891265294</v>
      </c>
    </row>
    <row r="231" spans="1:12" x14ac:dyDescent="0.35">
      <c r="A231" t="s">
        <v>904</v>
      </c>
      <c r="B231" s="1">
        <v>46201</v>
      </c>
      <c r="C231" t="s">
        <v>12</v>
      </c>
      <c r="D231" t="s">
        <v>36</v>
      </c>
      <c r="E231" t="s">
        <v>134</v>
      </c>
      <c r="F231" t="s">
        <v>79</v>
      </c>
      <c r="G231">
        <v>323217.43</v>
      </c>
      <c r="H231">
        <v>233771.35</v>
      </c>
      <c r="I231" t="s">
        <v>18</v>
      </c>
      <c r="J231" t="s">
        <v>41</v>
      </c>
      <c r="K231">
        <v>89446.079999999987</v>
      </c>
      <c r="L231">
        <v>0.2767365608964838</v>
      </c>
    </row>
    <row r="232" spans="1:12" x14ac:dyDescent="0.35">
      <c r="A232" t="s">
        <v>907</v>
      </c>
      <c r="B232" s="1">
        <v>46064</v>
      </c>
      <c r="C232" t="s">
        <v>12</v>
      </c>
      <c r="D232" t="s">
        <v>53</v>
      </c>
      <c r="E232" t="s">
        <v>14</v>
      </c>
      <c r="F232" t="s">
        <v>74</v>
      </c>
      <c r="G232">
        <v>144506.32999999999</v>
      </c>
      <c r="H232">
        <v>130445.53</v>
      </c>
      <c r="I232" t="s">
        <v>49</v>
      </c>
      <c r="J232" t="s">
        <v>41</v>
      </c>
      <c r="K232">
        <v>14060.799999999988</v>
      </c>
      <c r="L232">
        <v>9.7302311947165154E-2</v>
      </c>
    </row>
    <row r="233" spans="1:12" x14ac:dyDescent="0.35">
      <c r="A233" t="s">
        <v>911</v>
      </c>
      <c r="B233" s="1">
        <v>46066</v>
      </c>
      <c r="C233" t="s">
        <v>99</v>
      </c>
      <c r="D233" t="s">
        <v>36</v>
      </c>
      <c r="E233" t="s">
        <v>37</v>
      </c>
      <c r="F233" t="s">
        <v>46</v>
      </c>
      <c r="G233">
        <v>341512.57</v>
      </c>
      <c r="H233">
        <v>203421.27</v>
      </c>
      <c r="I233" t="s">
        <v>32</v>
      </c>
      <c r="J233" t="s">
        <v>19</v>
      </c>
      <c r="K233">
        <v>138091.30000000002</v>
      </c>
      <c r="L233">
        <v>0.40435202721820757</v>
      </c>
    </row>
    <row r="234" spans="1:12" x14ac:dyDescent="0.35">
      <c r="A234" t="s">
        <v>914</v>
      </c>
      <c r="B234" s="1">
        <v>46197</v>
      </c>
      <c r="C234" t="s">
        <v>3383</v>
      </c>
      <c r="D234" t="s">
        <v>53</v>
      </c>
      <c r="E234" t="s">
        <v>24</v>
      </c>
      <c r="F234" t="s">
        <v>74</v>
      </c>
      <c r="G234">
        <v>79475.63</v>
      </c>
      <c r="H234">
        <v>37896.75</v>
      </c>
      <c r="I234" t="s">
        <v>32</v>
      </c>
      <c r="J234" t="s">
        <v>41</v>
      </c>
      <c r="K234">
        <v>41578.880000000005</v>
      </c>
      <c r="L234">
        <v>0.52316515138036657</v>
      </c>
    </row>
    <row r="235" spans="1:12" x14ac:dyDescent="0.35">
      <c r="A235" t="s">
        <v>918</v>
      </c>
      <c r="B235" s="1">
        <v>46176</v>
      </c>
      <c r="C235" t="s">
        <v>99</v>
      </c>
      <c r="D235" t="s">
        <v>23</v>
      </c>
      <c r="E235" t="s">
        <v>14</v>
      </c>
      <c r="F235" t="s">
        <v>46</v>
      </c>
      <c r="G235">
        <v>197177.87</v>
      </c>
      <c r="H235">
        <v>173007.11</v>
      </c>
      <c r="I235" t="s">
        <v>32</v>
      </c>
      <c r="J235" t="s">
        <v>41</v>
      </c>
      <c r="K235">
        <v>24170.760000000009</v>
      </c>
      <c r="L235">
        <v>0.12258353333464861</v>
      </c>
    </row>
    <row r="236" spans="1:12" x14ac:dyDescent="0.35">
      <c r="A236" t="s">
        <v>922</v>
      </c>
      <c r="B236" s="1">
        <v>46161</v>
      </c>
      <c r="C236" t="s">
        <v>67</v>
      </c>
      <c r="D236" t="s">
        <v>36</v>
      </c>
      <c r="E236" t="s">
        <v>24</v>
      </c>
      <c r="F236" t="s">
        <v>15</v>
      </c>
      <c r="G236">
        <v>55828.69</v>
      </c>
      <c r="H236">
        <v>40586.639999999999</v>
      </c>
      <c r="I236" t="s">
        <v>49</v>
      </c>
      <c r="J236" t="s">
        <v>41</v>
      </c>
      <c r="K236">
        <v>15242.050000000003</v>
      </c>
      <c r="L236">
        <v>0.27301464533737047</v>
      </c>
    </row>
    <row r="237" spans="1:12" x14ac:dyDescent="0.35">
      <c r="A237" t="s">
        <v>926</v>
      </c>
      <c r="B237" s="1">
        <v>46115</v>
      </c>
      <c r="C237" t="s">
        <v>99</v>
      </c>
      <c r="D237" t="s">
        <v>36</v>
      </c>
      <c r="E237" t="s">
        <v>134</v>
      </c>
      <c r="F237" t="s">
        <v>15</v>
      </c>
      <c r="G237">
        <v>322946.90000000002</v>
      </c>
      <c r="H237">
        <v>165425.82</v>
      </c>
      <c r="I237" t="s">
        <v>32</v>
      </c>
      <c r="J237" t="s">
        <v>19</v>
      </c>
      <c r="K237">
        <v>157521.08000000002</v>
      </c>
      <c r="L237">
        <v>0.48776154841554448</v>
      </c>
    </row>
    <row r="238" spans="1:12" x14ac:dyDescent="0.35">
      <c r="A238" t="s">
        <v>930</v>
      </c>
      <c r="B238" s="1">
        <v>46069</v>
      </c>
      <c r="C238" t="s">
        <v>12</v>
      </c>
      <c r="D238" t="s">
        <v>23</v>
      </c>
      <c r="E238" t="s">
        <v>24</v>
      </c>
      <c r="F238" t="s">
        <v>38</v>
      </c>
      <c r="G238">
        <v>109086.33</v>
      </c>
      <c r="H238">
        <v>96596.02</v>
      </c>
      <c r="I238" t="s">
        <v>32</v>
      </c>
      <c r="J238" t="s">
        <v>19</v>
      </c>
      <c r="K238">
        <v>12490.309999999998</v>
      </c>
      <c r="L238">
        <v>0.11449931444205702</v>
      </c>
    </row>
    <row r="239" spans="1:12" x14ac:dyDescent="0.35">
      <c r="A239" t="s">
        <v>933</v>
      </c>
      <c r="B239" s="1">
        <v>46180</v>
      </c>
      <c r="C239" t="s">
        <v>12</v>
      </c>
      <c r="D239" t="s">
        <v>23</v>
      </c>
      <c r="E239" t="s">
        <v>24</v>
      </c>
      <c r="F239" t="s">
        <v>74</v>
      </c>
      <c r="G239">
        <v>78267.98</v>
      </c>
      <c r="H239">
        <v>38161.879999999997</v>
      </c>
      <c r="I239" t="s">
        <v>18</v>
      </c>
      <c r="J239" t="s">
        <v>19</v>
      </c>
      <c r="K239">
        <v>40106.1</v>
      </c>
      <c r="L239">
        <v>0.5124202771043791</v>
      </c>
    </row>
    <row r="240" spans="1:12" x14ac:dyDescent="0.35">
      <c r="A240" t="s">
        <v>936</v>
      </c>
      <c r="B240" s="1">
        <v>46190</v>
      </c>
      <c r="C240" t="s">
        <v>99</v>
      </c>
      <c r="D240" t="s">
        <v>36</v>
      </c>
      <c r="E240" t="s">
        <v>14</v>
      </c>
      <c r="F240" t="s">
        <v>46</v>
      </c>
      <c r="G240">
        <v>246578.76</v>
      </c>
      <c r="H240">
        <v>138955.25</v>
      </c>
      <c r="I240" t="s">
        <v>32</v>
      </c>
      <c r="J240" t="s">
        <v>19</v>
      </c>
      <c r="K240">
        <v>107623.51000000001</v>
      </c>
      <c r="L240">
        <v>0.43646707445523697</v>
      </c>
    </row>
    <row r="241" spans="1:12" x14ac:dyDescent="0.35">
      <c r="A241" t="s">
        <v>939</v>
      </c>
      <c r="B241" s="1">
        <v>46131</v>
      </c>
      <c r="C241" t="s">
        <v>12</v>
      </c>
      <c r="D241" t="s">
        <v>23</v>
      </c>
      <c r="E241" t="s">
        <v>45</v>
      </c>
      <c r="F241" t="s">
        <v>46</v>
      </c>
      <c r="G241">
        <v>353180.91</v>
      </c>
      <c r="H241">
        <v>179454.38</v>
      </c>
      <c r="I241" t="s">
        <v>18</v>
      </c>
      <c r="J241" t="s">
        <v>41</v>
      </c>
      <c r="K241">
        <v>173726.52999999997</v>
      </c>
      <c r="L241">
        <v>0.49189105379449866</v>
      </c>
    </row>
    <row r="242" spans="1:12" x14ac:dyDescent="0.35">
      <c r="A242" t="s">
        <v>943</v>
      </c>
      <c r="B242" s="1">
        <v>46055</v>
      </c>
      <c r="C242" t="s">
        <v>12</v>
      </c>
      <c r="D242" t="s">
        <v>23</v>
      </c>
      <c r="E242" t="s">
        <v>37</v>
      </c>
      <c r="F242" t="s">
        <v>38</v>
      </c>
      <c r="G242">
        <v>479309.43</v>
      </c>
      <c r="H242">
        <v>429805.75</v>
      </c>
      <c r="I242" t="s">
        <v>49</v>
      </c>
      <c r="J242" t="s">
        <v>41</v>
      </c>
      <c r="K242">
        <v>49503.679999999993</v>
      </c>
      <c r="L242">
        <v>0.10328125611882912</v>
      </c>
    </row>
    <row r="243" spans="1:12" x14ac:dyDescent="0.35">
      <c r="A243" t="s">
        <v>946</v>
      </c>
      <c r="B243" s="1">
        <v>46039</v>
      </c>
      <c r="C243" t="s">
        <v>12</v>
      </c>
      <c r="D243" t="s">
        <v>53</v>
      </c>
      <c r="E243" t="s">
        <v>37</v>
      </c>
      <c r="F243" t="s">
        <v>74</v>
      </c>
      <c r="G243">
        <v>253176.53</v>
      </c>
      <c r="H243">
        <v>117603.19</v>
      </c>
      <c r="I243" t="s">
        <v>18</v>
      </c>
      <c r="J243" t="s">
        <v>19</v>
      </c>
      <c r="K243">
        <v>135573.34</v>
      </c>
      <c r="L243">
        <v>0.53548936783358236</v>
      </c>
    </row>
    <row r="244" spans="1:12" x14ac:dyDescent="0.35">
      <c r="A244" t="s">
        <v>949</v>
      </c>
      <c r="B244" s="1">
        <v>46036</v>
      </c>
      <c r="C244" t="s">
        <v>12</v>
      </c>
      <c r="D244" t="s">
        <v>23</v>
      </c>
      <c r="E244" t="s">
        <v>109</v>
      </c>
      <c r="F244" t="s">
        <v>46</v>
      </c>
      <c r="G244">
        <v>230292.45</v>
      </c>
      <c r="H244">
        <v>210694.04</v>
      </c>
      <c r="I244" t="s">
        <v>32</v>
      </c>
      <c r="J244" t="s">
        <v>41</v>
      </c>
      <c r="K244">
        <v>19598.410000000003</v>
      </c>
      <c r="L244">
        <v>8.5102268875944492E-2</v>
      </c>
    </row>
    <row r="245" spans="1:12" x14ac:dyDescent="0.35">
      <c r="A245" t="s">
        <v>953</v>
      </c>
      <c r="B245" s="1">
        <v>46075</v>
      </c>
      <c r="C245" t="s">
        <v>12</v>
      </c>
      <c r="D245" t="s">
        <v>36</v>
      </c>
      <c r="E245" t="s">
        <v>134</v>
      </c>
      <c r="F245" t="s">
        <v>79</v>
      </c>
      <c r="G245">
        <v>456624.8</v>
      </c>
      <c r="H245">
        <v>361076.33</v>
      </c>
      <c r="I245" t="s">
        <v>32</v>
      </c>
      <c r="J245" t="s">
        <v>41</v>
      </c>
      <c r="K245">
        <v>95548.469999999972</v>
      </c>
      <c r="L245">
        <v>0.20924941001890388</v>
      </c>
    </row>
    <row r="246" spans="1:12" x14ac:dyDescent="0.35">
      <c r="A246" t="s">
        <v>957</v>
      </c>
      <c r="B246" s="1">
        <v>46106</v>
      </c>
      <c r="C246" t="s">
        <v>12</v>
      </c>
      <c r="D246" t="s">
        <v>53</v>
      </c>
      <c r="E246" t="s">
        <v>109</v>
      </c>
      <c r="F246" t="s">
        <v>25</v>
      </c>
      <c r="G246">
        <v>326756.42</v>
      </c>
      <c r="H246">
        <v>217255.57</v>
      </c>
      <c r="I246" t="s">
        <v>49</v>
      </c>
      <c r="J246" t="s">
        <v>19</v>
      </c>
      <c r="K246">
        <v>109500.84999999998</v>
      </c>
      <c r="L246">
        <v>0.3351146092248164</v>
      </c>
    </row>
    <row r="247" spans="1:12" x14ac:dyDescent="0.35">
      <c r="A247" t="s">
        <v>960</v>
      </c>
      <c r="B247" s="1">
        <v>46064</v>
      </c>
      <c r="C247" t="s">
        <v>12</v>
      </c>
      <c r="D247" t="s">
        <v>36</v>
      </c>
      <c r="E247" t="s">
        <v>109</v>
      </c>
      <c r="F247" t="s">
        <v>79</v>
      </c>
      <c r="G247">
        <v>236185.38</v>
      </c>
      <c r="H247">
        <v>172118.1</v>
      </c>
      <c r="I247" t="s">
        <v>18</v>
      </c>
      <c r="J247" t="s">
        <v>41</v>
      </c>
      <c r="K247">
        <v>64067.28</v>
      </c>
      <c r="L247">
        <v>0.27125844961275758</v>
      </c>
    </row>
    <row r="248" spans="1:12" x14ac:dyDescent="0.35">
      <c r="A248" t="s">
        <v>963</v>
      </c>
      <c r="B248" s="1">
        <v>46068</v>
      </c>
      <c r="C248" t="s">
        <v>99</v>
      </c>
      <c r="D248" t="s">
        <v>36</v>
      </c>
      <c r="E248" t="s">
        <v>37</v>
      </c>
      <c r="F248" t="s">
        <v>15</v>
      </c>
      <c r="G248">
        <v>298526.21000000002</v>
      </c>
      <c r="H248">
        <v>262475.55</v>
      </c>
      <c r="I248" t="s">
        <v>49</v>
      </c>
      <c r="J248" t="s">
        <v>41</v>
      </c>
      <c r="K248">
        <v>36050.660000000033</v>
      </c>
      <c r="L248">
        <v>0.12076212671577491</v>
      </c>
    </row>
    <row r="249" spans="1:12" x14ac:dyDescent="0.35">
      <c r="A249" t="s">
        <v>966</v>
      </c>
      <c r="B249" s="1">
        <v>46086</v>
      </c>
      <c r="C249" t="s">
        <v>67</v>
      </c>
      <c r="D249" t="s">
        <v>53</v>
      </c>
      <c r="E249" t="s">
        <v>109</v>
      </c>
      <c r="F249" t="s">
        <v>46</v>
      </c>
      <c r="G249">
        <v>409381.83</v>
      </c>
      <c r="H249">
        <v>166032.84</v>
      </c>
      <c r="I249" t="s">
        <v>32</v>
      </c>
      <c r="J249" t="s">
        <v>41</v>
      </c>
      <c r="K249">
        <v>243348.99000000002</v>
      </c>
      <c r="L249">
        <v>0.59443036345799716</v>
      </c>
    </row>
    <row r="250" spans="1:12" x14ac:dyDescent="0.35">
      <c r="A250" t="s">
        <v>969</v>
      </c>
      <c r="B250" s="1">
        <v>46098</v>
      </c>
      <c r="C250" t="s">
        <v>99</v>
      </c>
      <c r="D250" t="s">
        <v>23</v>
      </c>
      <c r="E250" t="s">
        <v>37</v>
      </c>
      <c r="F250" t="s">
        <v>79</v>
      </c>
      <c r="G250">
        <v>215384.53</v>
      </c>
      <c r="H250">
        <v>91159.62</v>
      </c>
      <c r="I250" t="s">
        <v>49</v>
      </c>
      <c r="J250" t="s">
        <v>41</v>
      </c>
      <c r="K250">
        <v>124224.91</v>
      </c>
      <c r="L250">
        <v>0.57675873935792887</v>
      </c>
    </row>
    <row r="251" spans="1:12" x14ac:dyDescent="0.35">
      <c r="A251" t="s">
        <v>972</v>
      </c>
      <c r="B251" s="1">
        <v>46103</v>
      </c>
      <c r="C251" t="s">
        <v>12</v>
      </c>
      <c r="D251" t="s">
        <v>36</v>
      </c>
      <c r="E251" t="s">
        <v>109</v>
      </c>
      <c r="F251" t="s">
        <v>46</v>
      </c>
      <c r="G251">
        <v>370689.76</v>
      </c>
      <c r="H251">
        <v>242682.92</v>
      </c>
      <c r="I251" t="s">
        <v>18</v>
      </c>
      <c r="J251" t="s">
        <v>41</v>
      </c>
      <c r="K251">
        <v>128006.84</v>
      </c>
      <c r="L251">
        <v>0.34532068002094257</v>
      </c>
    </row>
    <row r="252" spans="1:12" x14ac:dyDescent="0.35">
      <c r="A252" t="s">
        <v>976</v>
      </c>
      <c r="B252" s="1">
        <v>46129</v>
      </c>
      <c r="C252" t="s">
        <v>67</v>
      </c>
      <c r="D252" t="s">
        <v>53</v>
      </c>
      <c r="E252" t="s">
        <v>37</v>
      </c>
      <c r="F252" t="s">
        <v>79</v>
      </c>
      <c r="G252">
        <v>230786.41</v>
      </c>
      <c r="H252">
        <v>94375.12</v>
      </c>
      <c r="I252" t="s">
        <v>32</v>
      </c>
      <c r="J252" t="s">
        <v>41</v>
      </c>
      <c r="K252">
        <v>136411.29</v>
      </c>
      <c r="L252">
        <v>0.59107158866070153</v>
      </c>
    </row>
    <row r="253" spans="1:12" x14ac:dyDescent="0.35">
      <c r="A253" t="s">
        <v>979</v>
      </c>
      <c r="B253" s="1">
        <v>46055</v>
      </c>
      <c r="C253" t="s">
        <v>67</v>
      </c>
      <c r="D253" t="s">
        <v>23</v>
      </c>
      <c r="E253" t="s">
        <v>37</v>
      </c>
      <c r="F253" t="s">
        <v>15</v>
      </c>
      <c r="G253">
        <v>345496.15</v>
      </c>
      <c r="H253">
        <v>158491.75</v>
      </c>
      <c r="I253" t="s">
        <v>49</v>
      </c>
      <c r="J253" t="s">
        <v>19</v>
      </c>
      <c r="K253">
        <v>187004.40000000002</v>
      </c>
      <c r="L253">
        <v>0.54126333969278673</v>
      </c>
    </row>
    <row r="254" spans="1:12" x14ac:dyDescent="0.35">
      <c r="A254" t="s">
        <v>983</v>
      </c>
      <c r="B254" s="1">
        <v>46053</v>
      </c>
      <c r="C254" t="s">
        <v>12</v>
      </c>
      <c r="D254" t="s">
        <v>36</v>
      </c>
      <c r="E254" t="s">
        <v>37</v>
      </c>
      <c r="F254" t="s">
        <v>25</v>
      </c>
      <c r="G254">
        <v>266046.40999999997</v>
      </c>
      <c r="H254">
        <v>216575.22</v>
      </c>
      <c r="I254" t="s">
        <v>32</v>
      </c>
      <c r="J254" t="s">
        <v>19</v>
      </c>
      <c r="K254">
        <v>49471.189999999973</v>
      </c>
      <c r="L254">
        <v>0.18594947400342662</v>
      </c>
    </row>
    <row r="255" spans="1:12" x14ac:dyDescent="0.35">
      <c r="A255" t="s">
        <v>987</v>
      </c>
      <c r="B255" s="1">
        <v>46178</v>
      </c>
      <c r="C255" t="s">
        <v>67</v>
      </c>
      <c r="D255" t="s">
        <v>23</v>
      </c>
      <c r="E255" t="s">
        <v>109</v>
      </c>
      <c r="F255" t="s">
        <v>38</v>
      </c>
      <c r="G255">
        <v>494127.8</v>
      </c>
      <c r="H255">
        <v>281708.42</v>
      </c>
      <c r="I255" t="s">
        <v>49</v>
      </c>
      <c r="J255" t="s">
        <v>19</v>
      </c>
      <c r="K255">
        <v>212419.38</v>
      </c>
      <c r="L255">
        <v>0.4298875311204915</v>
      </c>
    </row>
    <row r="256" spans="1:12" x14ac:dyDescent="0.35">
      <c r="A256" t="s">
        <v>991</v>
      </c>
      <c r="B256" s="1">
        <v>46106</v>
      </c>
      <c r="C256" t="s">
        <v>52</v>
      </c>
      <c r="D256" t="s">
        <v>36</v>
      </c>
      <c r="E256" t="s">
        <v>14</v>
      </c>
      <c r="F256" t="s">
        <v>25</v>
      </c>
      <c r="G256">
        <v>467325.31</v>
      </c>
      <c r="H256">
        <v>244098.87</v>
      </c>
      <c r="I256" t="s">
        <v>18</v>
      </c>
      <c r="J256" t="s">
        <v>41</v>
      </c>
      <c r="K256">
        <v>223226.44</v>
      </c>
      <c r="L256">
        <v>0.47766820076575778</v>
      </c>
    </row>
    <row r="257" spans="1:12" x14ac:dyDescent="0.35">
      <c r="A257" t="s">
        <v>994</v>
      </c>
      <c r="B257" s="1">
        <v>46157</v>
      </c>
      <c r="C257" t="s">
        <v>52</v>
      </c>
      <c r="D257" t="s">
        <v>36</v>
      </c>
      <c r="E257" t="s">
        <v>134</v>
      </c>
      <c r="F257" t="s">
        <v>38</v>
      </c>
      <c r="G257">
        <v>306325.37</v>
      </c>
      <c r="H257">
        <v>180928.59</v>
      </c>
      <c r="I257" t="s">
        <v>49</v>
      </c>
      <c r="J257" t="s">
        <v>41</v>
      </c>
      <c r="K257">
        <v>125396.78</v>
      </c>
      <c r="L257">
        <v>0.40935812792783044</v>
      </c>
    </row>
    <row r="258" spans="1:12" x14ac:dyDescent="0.35">
      <c r="A258" t="s">
        <v>997</v>
      </c>
      <c r="B258" s="1">
        <v>46145</v>
      </c>
      <c r="C258" t="s">
        <v>67</v>
      </c>
      <c r="D258" t="s">
        <v>23</v>
      </c>
      <c r="E258" t="s">
        <v>134</v>
      </c>
      <c r="F258" t="s">
        <v>25</v>
      </c>
      <c r="G258">
        <v>400588.29</v>
      </c>
      <c r="H258">
        <v>365199.62</v>
      </c>
      <c r="I258" t="s">
        <v>32</v>
      </c>
      <c r="J258" t="s">
        <v>41</v>
      </c>
      <c r="K258">
        <v>35388.669999999984</v>
      </c>
      <c r="L258">
        <v>8.8341748581816967E-2</v>
      </c>
    </row>
    <row r="259" spans="1:12" x14ac:dyDescent="0.35">
      <c r="A259" t="s">
        <v>1001</v>
      </c>
      <c r="B259" s="1">
        <v>46049</v>
      </c>
      <c r="C259" t="s">
        <v>12</v>
      </c>
      <c r="D259" t="s">
        <v>36</v>
      </c>
      <c r="E259" t="s">
        <v>109</v>
      </c>
      <c r="F259" t="s">
        <v>46</v>
      </c>
      <c r="G259">
        <v>401133.79</v>
      </c>
      <c r="H259">
        <v>212656.28</v>
      </c>
      <c r="I259" t="s">
        <v>18</v>
      </c>
      <c r="J259" t="s">
        <v>19</v>
      </c>
      <c r="K259">
        <v>188477.50999999998</v>
      </c>
      <c r="L259">
        <v>0.46986196301239042</v>
      </c>
    </row>
    <row r="260" spans="1:12" x14ac:dyDescent="0.35">
      <c r="A260" t="s">
        <v>1004</v>
      </c>
      <c r="B260" s="1">
        <v>46044</v>
      </c>
      <c r="C260" t="s">
        <v>67</v>
      </c>
      <c r="D260" t="s">
        <v>36</v>
      </c>
      <c r="E260" t="s">
        <v>109</v>
      </c>
      <c r="F260" t="s">
        <v>15</v>
      </c>
      <c r="G260">
        <v>142803.21</v>
      </c>
      <c r="H260">
        <v>113465.52</v>
      </c>
      <c r="I260" t="s">
        <v>18</v>
      </c>
      <c r="J260" t="s">
        <v>41</v>
      </c>
      <c r="K260">
        <v>29337.689999999988</v>
      </c>
      <c r="L260">
        <v>0.20544139028807537</v>
      </c>
    </row>
    <row r="261" spans="1:12" x14ac:dyDescent="0.35">
      <c r="A261" t="s">
        <v>1007</v>
      </c>
      <c r="B261" s="1">
        <v>46161</v>
      </c>
      <c r="C261" t="s">
        <v>99</v>
      </c>
      <c r="D261" t="s">
        <v>53</v>
      </c>
      <c r="E261" t="s">
        <v>37</v>
      </c>
      <c r="F261" t="s">
        <v>38</v>
      </c>
      <c r="G261">
        <v>356760.16</v>
      </c>
      <c r="H261">
        <v>246526.32</v>
      </c>
      <c r="I261" t="s">
        <v>49</v>
      </c>
      <c r="J261" t="s">
        <v>19</v>
      </c>
      <c r="K261">
        <v>110233.83999999997</v>
      </c>
      <c r="L261">
        <v>0.30898584640168336</v>
      </c>
    </row>
    <row r="262" spans="1:12" x14ac:dyDescent="0.35">
      <c r="A262" t="s">
        <v>1010</v>
      </c>
      <c r="B262" s="1">
        <v>46171</v>
      </c>
      <c r="C262" t="s">
        <v>12</v>
      </c>
      <c r="D262" t="s">
        <v>36</v>
      </c>
      <c r="E262" t="s">
        <v>45</v>
      </c>
      <c r="F262" t="s">
        <v>38</v>
      </c>
      <c r="G262">
        <v>446425.89</v>
      </c>
      <c r="H262">
        <v>298197.40000000002</v>
      </c>
      <c r="I262" t="s">
        <v>18</v>
      </c>
      <c r="J262" t="s">
        <v>19</v>
      </c>
      <c r="K262">
        <v>148228.49</v>
      </c>
      <c r="L262">
        <v>0.33203381192788795</v>
      </c>
    </row>
    <row r="263" spans="1:12" x14ac:dyDescent="0.35">
      <c r="A263" t="s">
        <v>1014</v>
      </c>
      <c r="B263" s="1">
        <v>46043</v>
      </c>
      <c r="C263" t="s">
        <v>12</v>
      </c>
      <c r="D263" t="s">
        <v>53</v>
      </c>
      <c r="E263" t="s">
        <v>37</v>
      </c>
      <c r="F263" t="s">
        <v>15</v>
      </c>
      <c r="G263">
        <v>360944.12</v>
      </c>
      <c r="H263">
        <v>324227.40000000002</v>
      </c>
      <c r="I263" t="s">
        <v>49</v>
      </c>
      <c r="J263" t="s">
        <v>19</v>
      </c>
      <c r="K263">
        <v>36716.719999999972</v>
      </c>
      <c r="L263">
        <v>0.10172411175447317</v>
      </c>
    </row>
    <row r="264" spans="1:12" x14ac:dyDescent="0.35">
      <c r="A264" t="s">
        <v>1018</v>
      </c>
      <c r="B264" s="1">
        <v>46023</v>
      </c>
      <c r="C264" t="s">
        <v>12</v>
      </c>
      <c r="D264" t="s">
        <v>23</v>
      </c>
      <c r="E264" t="s">
        <v>134</v>
      </c>
      <c r="F264" t="s">
        <v>74</v>
      </c>
      <c r="G264">
        <v>155348.57</v>
      </c>
      <c r="H264">
        <v>75189.81</v>
      </c>
      <c r="I264" t="s">
        <v>49</v>
      </c>
      <c r="J264" t="s">
        <v>41</v>
      </c>
      <c r="K264">
        <v>80158.760000000009</v>
      </c>
      <c r="L264">
        <v>0.51599290550276711</v>
      </c>
    </row>
    <row r="265" spans="1:12" x14ac:dyDescent="0.35">
      <c r="A265" t="s">
        <v>1022</v>
      </c>
      <c r="B265" s="1">
        <v>46049</v>
      </c>
      <c r="C265" t="s">
        <v>12</v>
      </c>
      <c r="D265" t="s">
        <v>23</v>
      </c>
      <c r="E265" t="s">
        <v>24</v>
      </c>
      <c r="F265" t="s">
        <v>74</v>
      </c>
      <c r="G265">
        <v>460913.63</v>
      </c>
      <c r="H265">
        <v>407640.41</v>
      </c>
      <c r="I265" t="s">
        <v>18</v>
      </c>
      <c r="J265" t="s">
        <v>19</v>
      </c>
      <c r="K265">
        <v>53273.22000000003</v>
      </c>
      <c r="L265">
        <v>0.1155817848129161</v>
      </c>
    </row>
    <row r="266" spans="1:12" x14ac:dyDescent="0.35">
      <c r="A266" t="s">
        <v>1025</v>
      </c>
      <c r="B266" s="1">
        <v>46094</v>
      </c>
      <c r="C266" t="s">
        <v>3383</v>
      </c>
      <c r="D266" t="s">
        <v>36</v>
      </c>
      <c r="E266" t="s">
        <v>37</v>
      </c>
      <c r="F266" t="s">
        <v>25</v>
      </c>
      <c r="G266">
        <v>145693.01</v>
      </c>
      <c r="H266">
        <v>96927.43</v>
      </c>
      <c r="I266" t="s">
        <v>32</v>
      </c>
      <c r="J266" t="s">
        <v>41</v>
      </c>
      <c r="K266">
        <v>48765.580000000016</v>
      </c>
      <c r="L266">
        <v>0.33471461671359531</v>
      </c>
    </row>
    <row r="267" spans="1:12" x14ac:dyDescent="0.35">
      <c r="A267" t="s">
        <v>1028</v>
      </c>
      <c r="B267" s="1">
        <v>46135</v>
      </c>
      <c r="C267" t="s">
        <v>12</v>
      </c>
      <c r="D267" t="s">
        <v>36</v>
      </c>
      <c r="E267" t="s">
        <v>24</v>
      </c>
      <c r="F267" t="s">
        <v>25</v>
      </c>
      <c r="G267">
        <v>76523.39</v>
      </c>
      <c r="H267">
        <v>66121.899999999994</v>
      </c>
      <c r="I267" t="s">
        <v>49</v>
      </c>
      <c r="J267" t="s">
        <v>19</v>
      </c>
      <c r="K267">
        <v>10401.490000000005</v>
      </c>
      <c r="L267">
        <v>0.1359256300589925</v>
      </c>
    </row>
    <row r="268" spans="1:12" x14ac:dyDescent="0.35">
      <c r="A268" t="s">
        <v>1032</v>
      </c>
      <c r="B268" s="1">
        <v>46165</v>
      </c>
      <c r="C268" t="s">
        <v>12</v>
      </c>
      <c r="D268" t="s">
        <v>36</v>
      </c>
      <c r="E268" t="s">
        <v>109</v>
      </c>
      <c r="F268" t="s">
        <v>38</v>
      </c>
      <c r="G268">
        <v>341283.72</v>
      </c>
      <c r="H268">
        <v>179907.23</v>
      </c>
      <c r="I268" t="s">
        <v>18</v>
      </c>
      <c r="J268" t="s">
        <v>41</v>
      </c>
      <c r="K268">
        <v>161376.48999999996</v>
      </c>
      <c r="L268">
        <v>0.47285141523891022</v>
      </c>
    </row>
    <row r="269" spans="1:12" x14ac:dyDescent="0.35">
      <c r="A269" t="s">
        <v>1035</v>
      </c>
      <c r="B269" s="1">
        <v>46115</v>
      </c>
      <c r="C269" t="s">
        <v>52</v>
      </c>
      <c r="D269" t="s">
        <v>36</v>
      </c>
      <c r="E269" t="s">
        <v>37</v>
      </c>
      <c r="F269" t="s">
        <v>79</v>
      </c>
      <c r="G269">
        <v>268338.62</v>
      </c>
      <c r="H269">
        <v>124752.58</v>
      </c>
      <c r="I269" t="s">
        <v>18</v>
      </c>
      <c r="J269" t="s">
        <v>41</v>
      </c>
      <c r="K269">
        <v>143586.03999999998</v>
      </c>
      <c r="L269">
        <v>0.53509271233488487</v>
      </c>
    </row>
    <row r="270" spans="1:12" x14ac:dyDescent="0.35">
      <c r="A270" t="s">
        <v>1038</v>
      </c>
      <c r="B270" s="1">
        <v>46175</v>
      </c>
      <c r="C270" t="s">
        <v>12</v>
      </c>
      <c r="D270" t="s">
        <v>36</v>
      </c>
      <c r="E270" t="s">
        <v>45</v>
      </c>
      <c r="F270" t="s">
        <v>74</v>
      </c>
      <c r="G270">
        <v>261166.05</v>
      </c>
      <c r="H270">
        <v>142289.04</v>
      </c>
      <c r="I270" t="s">
        <v>18</v>
      </c>
      <c r="J270" t="s">
        <v>41</v>
      </c>
      <c r="K270">
        <v>118877.00999999998</v>
      </c>
      <c r="L270">
        <v>0.45517788395543751</v>
      </c>
    </row>
    <row r="271" spans="1:12" x14ac:dyDescent="0.35">
      <c r="A271" t="s">
        <v>1042</v>
      </c>
      <c r="B271" s="1">
        <v>46104</v>
      </c>
      <c r="C271" t="s">
        <v>67</v>
      </c>
      <c r="D271" t="s">
        <v>23</v>
      </c>
      <c r="E271" t="s">
        <v>134</v>
      </c>
      <c r="F271" t="s">
        <v>79</v>
      </c>
      <c r="G271">
        <v>218807.42</v>
      </c>
      <c r="H271">
        <v>93271.69</v>
      </c>
      <c r="I271" t="s">
        <v>49</v>
      </c>
      <c r="J271" t="s">
        <v>19</v>
      </c>
      <c r="K271">
        <v>125535.73000000001</v>
      </c>
      <c r="L271">
        <v>0.57372702443088996</v>
      </c>
    </row>
    <row r="272" spans="1:12" x14ac:dyDescent="0.35">
      <c r="A272" t="s">
        <v>1045</v>
      </c>
      <c r="B272" s="1">
        <v>46071</v>
      </c>
      <c r="C272" t="s">
        <v>3383</v>
      </c>
      <c r="D272" t="s">
        <v>53</v>
      </c>
      <c r="E272" t="s">
        <v>24</v>
      </c>
      <c r="F272" t="s">
        <v>74</v>
      </c>
      <c r="G272">
        <v>211504.16</v>
      </c>
      <c r="H272">
        <v>147067.25</v>
      </c>
      <c r="I272" t="s">
        <v>32</v>
      </c>
      <c r="J272" t="s">
        <v>19</v>
      </c>
      <c r="K272">
        <v>64436.91</v>
      </c>
      <c r="L272">
        <v>0.30466024876295578</v>
      </c>
    </row>
    <row r="273" spans="1:12" x14ac:dyDescent="0.35">
      <c r="A273" t="s">
        <v>1048</v>
      </c>
      <c r="B273" s="1">
        <v>46027</v>
      </c>
      <c r="C273" t="s">
        <v>67</v>
      </c>
      <c r="D273" t="s">
        <v>36</v>
      </c>
      <c r="E273" t="s">
        <v>134</v>
      </c>
      <c r="F273" t="s">
        <v>74</v>
      </c>
      <c r="G273">
        <v>85898.8</v>
      </c>
      <c r="H273">
        <v>79876.649999999994</v>
      </c>
      <c r="I273" t="s">
        <v>49</v>
      </c>
      <c r="J273" t="s">
        <v>41</v>
      </c>
      <c r="K273">
        <v>6022.1500000000087</v>
      </c>
      <c r="L273">
        <v>7.0107498591365752E-2</v>
      </c>
    </row>
    <row r="274" spans="1:12" x14ac:dyDescent="0.35">
      <c r="A274" t="s">
        <v>1051</v>
      </c>
      <c r="B274" s="1">
        <v>46050</v>
      </c>
      <c r="C274" t="s">
        <v>12</v>
      </c>
      <c r="D274" t="s">
        <v>36</v>
      </c>
      <c r="E274" t="s">
        <v>134</v>
      </c>
      <c r="F274" t="s">
        <v>46</v>
      </c>
      <c r="G274">
        <v>162245.98000000001</v>
      </c>
      <c r="H274">
        <v>116495.81</v>
      </c>
      <c r="I274" t="s">
        <v>32</v>
      </c>
      <c r="J274" t="s">
        <v>19</v>
      </c>
      <c r="K274">
        <v>45750.170000000013</v>
      </c>
      <c r="L274">
        <v>0.28198029929616752</v>
      </c>
    </row>
    <row r="275" spans="1:12" x14ac:dyDescent="0.35">
      <c r="A275" t="s">
        <v>1054</v>
      </c>
      <c r="B275" s="1">
        <v>46155</v>
      </c>
      <c r="C275" t="s">
        <v>52</v>
      </c>
      <c r="D275" t="s">
        <v>53</v>
      </c>
      <c r="E275" t="s">
        <v>37</v>
      </c>
      <c r="F275" t="s">
        <v>25</v>
      </c>
      <c r="G275">
        <v>281051.36</v>
      </c>
      <c r="H275">
        <v>173039.54</v>
      </c>
      <c r="I275" t="s">
        <v>32</v>
      </c>
      <c r="J275" t="s">
        <v>19</v>
      </c>
      <c r="K275">
        <v>108011.81999999998</v>
      </c>
      <c r="L275">
        <v>0.38431345786762955</v>
      </c>
    </row>
    <row r="276" spans="1:12" x14ac:dyDescent="0.35">
      <c r="A276" t="s">
        <v>1058</v>
      </c>
      <c r="B276" s="1">
        <v>46030</v>
      </c>
      <c r="C276" t="s">
        <v>99</v>
      </c>
      <c r="D276" t="s">
        <v>36</v>
      </c>
      <c r="E276" t="s">
        <v>134</v>
      </c>
      <c r="F276" t="s">
        <v>79</v>
      </c>
      <c r="G276">
        <v>327677.40999999997</v>
      </c>
      <c r="H276">
        <v>286424.15999999997</v>
      </c>
      <c r="I276" t="s">
        <v>32</v>
      </c>
      <c r="J276" t="s">
        <v>41</v>
      </c>
      <c r="K276">
        <v>41253.25</v>
      </c>
      <c r="L276">
        <v>0.12589592306653061</v>
      </c>
    </row>
    <row r="277" spans="1:12" x14ac:dyDescent="0.35">
      <c r="A277" t="s">
        <v>1061</v>
      </c>
      <c r="B277" s="1">
        <v>46060</v>
      </c>
      <c r="C277" t="s">
        <v>3383</v>
      </c>
      <c r="D277" t="s">
        <v>23</v>
      </c>
      <c r="E277" t="s">
        <v>14</v>
      </c>
      <c r="F277" t="s">
        <v>74</v>
      </c>
      <c r="G277">
        <v>123869.28</v>
      </c>
      <c r="H277">
        <v>81414.38</v>
      </c>
      <c r="I277" t="s">
        <v>18</v>
      </c>
      <c r="J277" t="s">
        <v>41</v>
      </c>
      <c r="K277">
        <v>42454.899999999994</v>
      </c>
      <c r="L277">
        <v>0.34273953961789394</v>
      </c>
    </row>
    <row r="278" spans="1:12" x14ac:dyDescent="0.35">
      <c r="A278" t="s">
        <v>1065</v>
      </c>
      <c r="B278" s="1">
        <v>46151</v>
      </c>
      <c r="C278" t="s">
        <v>12</v>
      </c>
      <c r="D278" t="s">
        <v>23</v>
      </c>
      <c r="E278" t="s">
        <v>24</v>
      </c>
      <c r="F278" t="s">
        <v>38</v>
      </c>
      <c r="G278">
        <v>164867.26</v>
      </c>
      <c r="H278">
        <v>121517.13</v>
      </c>
      <c r="I278" t="s">
        <v>49</v>
      </c>
      <c r="J278" t="s">
        <v>41</v>
      </c>
      <c r="K278">
        <v>43350.130000000005</v>
      </c>
      <c r="L278">
        <v>0.2629395915235081</v>
      </c>
    </row>
    <row r="279" spans="1:12" x14ac:dyDescent="0.35">
      <c r="A279" t="s">
        <v>1068</v>
      </c>
      <c r="B279" s="1">
        <v>46203</v>
      </c>
      <c r="C279" t="s">
        <v>67</v>
      </c>
      <c r="D279" t="s">
        <v>53</v>
      </c>
      <c r="E279" t="s">
        <v>24</v>
      </c>
      <c r="F279" t="s">
        <v>79</v>
      </c>
      <c r="G279">
        <v>327426.78000000003</v>
      </c>
      <c r="H279">
        <v>200789.19</v>
      </c>
      <c r="I279" t="s">
        <v>32</v>
      </c>
      <c r="J279" t="s">
        <v>19</v>
      </c>
      <c r="K279">
        <v>126637.59000000003</v>
      </c>
      <c r="L279">
        <v>0.38676613440110186</v>
      </c>
    </row>
    <row r="280" spans="1:12" x14ac:dyDescent="0.35">
      <c r="A280" t="s">
        <v>1071</v>
      </c>
      <c r="B280" s="1">
        <v>46155</v>
      </c>
      <c r="C280" t="s">
        <v>67</v>
      </c>
      <c r="D280" t="s">
        <v>23</v>
      </c>
      <c r="E280" t="s">
        <v>14</v>
      </c>
      <c r="F280" t="s">
        <v>46</v>
      </c>
      <c r="G280">
        <v>205220.82</v>
      </c>
      <c r="H280">
        <v>180064.05</v>
      </c>
      <c r="I280" t="s">
        <v>49</v>
      </c>
      <c r="J280" t="s">
        <v>41</v>
      </c>
      <c r="K280">
        <v>25156.770000000019</v>
      </c>
      <c r="L280">
        <v>0.12258390742225871</v>
      </c>
    </row>
    <row r="281" spans="1:12" x14ac:dyDescent="0.35">
      <c r="A281" t="s">
        <v>1075</v>
      </c>
      <c r="B281" s="1">
        <v>46117</v>
      </c>
      <c r="C281" t="s">
        <v>12</v>
      </c>
      <c r="D281" t="s">
        <v>23</v>
      </c>
      <c r="E281" t="s">
        <v>14</v>
      </c>
      <c r="F281" t="s">
        <v>79</v>
      </c>
      <c r="G281">
        <v>480857.59999999998</v>
      </c>
      <c r="H281">
        <v>372757.51</v>
      </c>
      <c r="I281" t="s">
        <v>32</v>
      </c>
      <c r="J281" t="s">
        <v>41</v>
      </c>
      <c r="K281">
        <v>108100.08999999997</v>
      </c>
      <c r="L281">
        <v>0.22480686589959267</v>
      </c>
    </row>
    <row r="282" spans="1:12" x14ac:dyDescent="0.35">
      <c r="A282" t="s">
        <v>1078</v>
      </c>
      <c r="B282" s="1">
        <v>46134</v>
      </c>
      <c r="C282" t="s">
        <v>67</v>
      </c>
      <c r="D282" t="s">
        <v>23</v>
      </c>
      <c r="E282" t="s">
        <v>24</v>
      </c>
      <c r="F282" t="s">
        <v>38</v>
      </c>
      <c r="G282">
        <v>148697.10999999999</v>
      </c>
      <c r="H282">
        <v>102641.82</v>
      </c>
      <c r="I282" t="s">
        <v>49</v>
      </c>
      <c r="J282" t="s">
        <v>41</v>
      </c>
      <c r="K282">
        <v>46055.289999999979</v>
      </c>
      <c r="L282">
        <v>0.30972552190153518</v>
      </c>
    </row>
    <row r="283" spans="1:12" x14ac:dyDescent="0.35">
      <c r="A283" t="s">
        <v>1082</v>
      </c>
      <c r="B283" s="1">
        <v>46040</v>
      </c>
      <c r="C283" t="s">
        <v>52</v>
      </c>
      <c r="D283" t="s">
        <v>23</v>
      </c>
      <c r="E283" t="s">
        <v>109</v>
      </c>
      <c r="F283" t="s">
        <v>46</v>
      </c>
      <c r="G283">
        <v>435832.82</v>
      </c>
      <c r="H283">
        <v>290973.87</v>
      </c>
      <c r="I283" t="s">
        <v>18</v>
      </c>
      <c r="J283" t="s">
        <v>19</v>
      </c>
      <c r="K283">
        <v>144858.95000000001</v>
      </c>
      <c r="L283">
        <v>0.33237274329179711</v>
      </c>
    </row>
    <row r="284" spans="1:12" x14ac:dyDescent="0.35">
      <c r="A284" t="s">
        <v>1085</v>
      </c>
      <c r="B284" s="1">
        <v>46039</v>
      </c>
      <c r="C284" t="s">
        <v>12</v>
      </c>
      <c r="D284" t="s">
        <v>36</v>
      </c>
      <c r="E284" t="s">
        <v>14</v>
      </c>
      <c r="F284" t="s">
        <v>79</v>
      </c>
      <c r="G284">
        <v>493719.28</v>
      </c>
      <c r="H284">
        <v>214667.1</v>
      </c>
      <c r="I284" t="s">
        <v>32</v>
      </c>
      <c r="J284" t="s">
        <v>19</v>
      </c>
      <c r="K284">
        <v>279052.18000000005</v>
      </c>
      <c r="L284">
        <v>0.5652041378655499</v>
      </c>
    </row>
    <row r="285" spans="1:12" x14ac:dyDescent="0.35">
      <c r="A285" t="s">
        <v>1088</v>
      </c>
      <c r="B285" s="1">
        <v>46194</v>
      </c>
      <c r="C285" t="s">
        <v>3383</v>
      </c>
      <c r="D285" t="s">
        <v>36</v>
      </c>
      <c r="E285" t="s">
        <v>45</v>
      </c>
      <c r="F285" t="s">
        <v>79</v>
      </c>
      <c r="G285">
        <v>278013.88</v>
      </c>
      <c r="H285">
        <v>121003.49</v>
      </c>
      <c r="I285" t="s">
        <v>18</v>
      </c>
      <c r="J285" t="s">
        <v>19</v>
      </c>
      <c r="K285">
        <v>157010.39000000001</v>
      </c>
      <c r="L285">
        <v>0.56475737830068051</v>
      </c>
    </row>
    <row r="286" spans="1:12" x14ac:dyDescent="0.35">
      <c r="A286" t="s">
        <v>1091</v>
      </c>
      <c r="B286" s="1">
        <v>46076</v>
      </c>
      <c r="C286" t="s">
        <v>12</v>
      </c>
      <c r="D286" t="s">
        <v>36</v>
      </c>
      <c r="E286" t="s">
        <v>37</v>
      </c>
      <c r="F286" t="s">
        <v>38</v>
      </c>
      <c r="G286">
        <v>205119.5</v>
      </c>
      <c r="H286">
        <v>108043.88</v>
      </c>
      <c r="I286" t="s">
        <v>49</v>
      </c>
      <c r="J286" t="s">
        <v>41</v>
      </c>
      <c r="K286">
        <v>97075.62</v>
      </c>
      <c r="L286">
        <v>0.473263731629611</v>
      </c>
    </row>
    <row r="287" spans="1:12" x14ac:dyDescent="0.35">
      <c r="A287" t="s">
        <v>1095</v>
      </c>
      <c r="B287" s="1">
        <v>46136</v>
      </c>
      <c r="C287" t="s">
        <v>99</v>
      </c>
      <c r="D287" t="s">
        <v>36</v>
      </c>
      <c r="E287" t="s">
        <v>134</v>
      </c>
      <c r="F287" t="s">
        <v>15</v>
      </c>
      <c r="G287">
        <v>176646.7</v>
      </c>
      <c r="H287">
        <v>145225.31</v>
      </c>
      <c r="I287" t="s">
        <v>32</v>
      </c>
      <c r="J287" t="s">
        <v>41</v>
      </c>
      <c r="K287">
        <v>31421.390000000014</v>
      </c>
      <c r="L287">
        <v>0.177877027988635</v>
      </c>
    </row>
    <row r="288" spans="1:12" x14ac:dyDescent="0.35">
      <c r="A288" t="s">
        <v>1098</v>
      </c>
      <c r="B288" s="1">
        <v>46053</v>
      </c>
      <c r="C288" t="s">
        <v>12</v>
      </c>
      <c r="D288" t="s">
        <v>53</v>
      </c>
      <c r="E288" t="s">
        <v>109</v>
      </c>
      <c r="F288" t="s">
        <v>79</v>
      </c>
      <c r="G288">
        <v>79765.490000000005</v>
      </c>
      <c r="H288">
        <v>43705.9</v>
      </c>
      <c r="I288" t="s">
        <v>32</v>
      </c>
      <c r="J288" t="s">
        <v>19</v>
      </c>
      <c r="K288">
        <v>36059.590000000004</v>
      </c>
      <c r="L288">
        <v>0.4520700618776366</v>
      </c>
    </row>
    <row r="289" spans="1:12" x14ac:dyDescent="0.35">
      <c r="A289" t="s">
        <v>1102</v>
      </c>
      <c r="B289" s="1">
        <v>46028</v>
      </c>
      <c r="C289" t="s">
        <v>99</v>
      </c>
      <c r="D289" t="s">
        <v>23</v>
      </c>
      <c r="E289" t="s">
        <v>45</v>
      </c>
      <c r="F289" t="s">
        <v>25</v>
      </c>
      <c r="G289">
        <v>459951.58</v>
      </c>
      <c r="H289">
        <v>426449.35</v>
      </c>
      <c r="I289" t="s">
        <v>18</v>
      </c>
      <c r="J289" t="s">
        <v>19</v>
      </c>
      <c r="K289">
        <v>33502.23000000004</v>
      </c>
      <c r="L289">
        <v>7.2838601837176081E-2</v>
      </c>
    </row>
    <row r="290" spans="1:12" x14ac:dyDescent="0.35">
      <c r="A290" t="s">
        <v>1106</v>
      </c>
      <c r="B290" s="1">
        <v>46058</v>
      </c>
      <c r="C290" t="s">
        <v>12</v>
      </c>
      <c r="D290" t="s">
        <v>36</v>
      </c>
      <c r="E290" t="s">
        <v>134</v>
      </c>
      <c r="F290" t="s">
        <v>74</v>
      </c>
      <c r="G290">
        <v>357097.43</v>
      </c>
      <c r="H290">
        <v>298940.25</v>
      </c>
      <c r="I290" t="s">
        <v>32</v>
      </c>
      <c r="J290" t="s">
        <v>19</v>
      </c>
      <c r="K290">
        <v>58157.179999999993</v>
      </c>
      <c r="L290">
        <v>0.16286081924476464</v>
      </c>
    </row>
    <row r="291" spans="1:12" x14ac:dyDescent="0.35">
      <c r="A291" t="s">
        <v>1109</v>
      </c>
      <c r="B291" s="1">
        <v>46172</v>
      </c>
      <c r="C291" t="s">
        <v>99</v>
      </c>
      <c r="D291" t="s">
        <v>36</v>
      </c>
      <c r="E291" t="s">
        <v>45</v>
      </c>
      <c r="F291" t="s">
        <v>46</v>
      </c>
      <c r="G291">
        <v>490761.33</v>
      </c>
      <c r="H291">
        <v>397486.62</v>
      </c>
      <c r="I291" t="s">
        <v>18</v>
      </c>
      <c r="J291" t="s">
        <v>41</v>
      </c>
      <c r="K291">
        <v>93274.710000000021</v>
      </c>
      <c r="L291">
        <v>0.19006124626811982</v>
      </c>
    </row>
    <row r="292" spans="1:12" x14ac:dyDescent="0.35">
      <c r="A292" t="s">
        <v>1113</v>
      </c>
      <c r="B292" s="1">
        <v>46182</v>
      </c>
      <c r="C292" t="s">
        <v>52</v>
      </c>
      <c r="D292" t="s">
        <v>23</v>
      </c>
      <c r="E292" t="s">
        <v>24</v>
      </c>
      <c r="F292" t="s">
        <v>46</v>
      </c>
      <c r="G292">
        <v>266082.96999999997</v>
      </c>
      <c r="H292">
        <v>140159.88</v>
      </c>
      <c r="I292" t="s">
        <v>32</v>
      </c>
      <c r="J292" t="s">
        <v>19</v>
      </c>
      <c r="K292">
        <v>125923.08999999997</v>
      </c>
      <c r="L292">
        <v>0.47324746112086763</v>
      </c>
    </row>
    <row r="293" spans="1:12" x14ac:dyDescent="0.35">
      <c r="A293" t="s">
        <v>1116</v>
      </c>
      <c r="B293" s="1">
        <v>46030</v>
      </c>
      <c r="C293" t="s">
        <v>67</v>
      </c>
      <c r="D293" t="s">
        <v>23</v>
      </c>
      <c r="E293" t="s">
        <v>37</v>
      </c>
      <c r="F293" t="s">
        <v>25</v>
      </c>
      <c r="G293">
        <v>302171.21999999997</v>
      </c>
      <c r="H293">
        <v>179698.89</v>
      </c>
      <c r="I293" t="s">
        <v>18</v>
      </c>
      <c r="J293" t="s">
        <v>19</v>
      </c>
      <c r="K293">
        <v>122472.32999999996</v>
      </c>
      <c r="L293">
        <v>0.40530772586482583</v>
      </c>
    </row>
    <row r="294" spans="1:12" x14ac:dyDescent="0.35">
      <c r="A294" t="s">
        <v>1119</v>
      </c>
      <c r="B294" s="1">
        <v>46182</v>
      </c>
      <c r="C294" t="s">
        <v>12</v>
      </c>
      <c r="D294" t="s">
        <v>53</v>
      </c>
      <c r="E294" t="s">
        <v>109</v>
      </c>
      <c r="F294" t="s">
        <v>15</v>
      </c>
      <c r="G294">
        <v>377192.37</v>
      </c>
      <c r="H294">
        <v>167981.83</v>
      </c>
      <c r="I294" t="s">
        <v>49</v>
      </c>
      <c r="J294" t="s">
        <v>41</v>
      </c>
      <c r="K294">
        <v>209210.54</v>
      </c>
      <c r="L294">
        <v>0.55465209966999074</v>
      </c>
    </row>
    <row r="295" spans="1:12" x14ac:dyDescent="0.35">
      <c r="A295" t="s">
        <v>1122</v>
      </c>
      <c r="B295" s="1">
        <v>46064</v>
      </c>
      <c r="C295" t="s">
        <v>12</v>
      </c>
      <c r="D295" t="s">
        <v>23</v>
      </c>
      <c r="E295" t="s">
        <v>37</v>
      </c>
      <c r="F295" t="s">
        <v>46</v>
      </c>
      <c r="G295">
        <v>240436.88</v>
      </c>
      <c r="H295">
        <v>156836.78</v>
      </c>
      <c r="I295" t="s">
        <v>32</v>
      </c>
      <c r="J295" t="s">
        <v>41</v>
      </c>
      <c r="K295">
        <v>83600.100000000006</v>
      </c>
      <c r="L295">
        <v>0.34770081860985719</v>
      </c>
    </row>
    <row r="296" spans="1:12" x14ac:dyDescent="0.35">
      <c r="A296" t="s">
        <v>1125</v>
      </c>
      <c r="B296" s="1">
        <v>46057</v>
      </c>
      <c r="C296" t="s">
        <v>12</v>
      </c>
      <c r="D296" t="s">
        <v>53</v>
      </c>
      <c r="E296" t="s">
        <v>45</v>
      </c>
      <c r="F296" t="s">
        <v>38</v>
      </c>
      <c r="G296">
        <v>291665.02</v>
      </c>
      <c r="H296">
        <v>193520.71</v>
      </c>
      <c r="I296" t="s">
        <v>18</v>
      </c>
      <c r="J296" t="s">
        <v>19</v>
      </c>
      <c r="K296">
        <v>98144.310000000027</v>
      </c>
      <c r="L296">
        <v>0.33649667690695312</v>
      </c>
    </row>
    <row r="297" spans="1:12" x14ac:dyDescent="0.35">
      <c r="A297" t="s">
        <v>1129</v>
      </c>
      <c r="B297" s="1">
        <v>46169</v>
      </c>
      <c r="C297" t="s">
        <v>12</v>
      </c>
      <c r="D297" t="s">
        <v>53</v>
      </c>
      <c r="E297" t="s">
        <v>45</v>
      </c>
      <c r="F297" t="s">
        <v>15</v>
      </c>
      <c r="G297">
        <v>193926.58</v>
      </c>
      <c r="H297">
        <v>101748.18</v>
      </c>
      <c r="I297" t="s">
        <v>18</v>
      </c>
      <c r="J297" t="s">
        <v>41</v>
      </c>
      <c r="K297">
        <v>92178.4</v>
      </c>
      <c r="L297">
        <v>0.47532628069860255</v>
      </c>
    </row>
    <row r="298" spans="1:12" x14ac:dyDescent="0.35">
      <c r="A298" t="s">
        <v>1133</v>
      </c>
      <c r="B298" s="1">
        <v>46063</v>
      </c>
      <c r="C298" t="s">
        <v>12</v>
      </c>
      <c r="D298" t="s">
        <v>36</v>
      </c>
      <c r="E298" t="s">
        <v>14</v>
      </c>
      <c r="F298" t="s">
        <v>15</v>
      </c>
      <c r="G298">
        <v>416793.05</v>
      </c>
      <c r="H298">
        <v>314244.92</v>
      </c>
      <c r="I298" t="s">
        <v>18</v>
      </c>
      <c r="J298" t="s">
        <v>19</v>
      </c>
      <c r="K298">
        <v>102548.13</v>
      </c>
      <c r="L298">
        <v>0.24604088287940504</v>
      </c>
    </row>
    <row r="299" spans="1:12" x14ac:dyDescent="0.35">
      <c r="A299" t="s">
        <v>1137</v>
      </c>
      <c r="B299" s="1">
        <v>46182</v>
      </c>
      <c r="C299" t="s">
        <v>3383</v>
      </c>
      <c r="D299" t="s">
        <v>23</v>
      </c>
      <c r="E299" t="s">
        <v>24</v>
      </c>
      <c r="F299" t="s">
        <v>38</v>
      </c>
      <c r="G299">
        <v>263250.59999999998</v>
      </c>
      <c r="H299">
        <v>188367.98</v>
      </c>
      <c r="I299" t="s">
        <v>49</v>
      </c>
      <c r="J299" t="s">
        <v>41</v>
      </c>
      <c r="K299">
        <v>74882.619999999966</v>
      </c>
      <c r="L299">
        <v>0.28445374863343131</v>
      </c>
    </row>
    <row r="300" spans="1:12" x14ac:dyDescent="0.35">
      <c r="A300" t="s">
        <v>1140</v>
      </c>
      <c r="B300" s="1">
        <v>46200</v>
      </c>
      <c r="C300" t="s">
        <v>3383</v>
      </c>
      <c r="D300" t="s">
        <v>23</v>
      </c>
      <c r="E300" t="s">
        <v>134</v>
      </c>
      <c r="F300" t="s">
        <v>38</v>
      </c>
      <c r="G300">
        <v>489878.84</v>
      </c>
      <c r="H300">
        <v>202466.89</v>
      </c>
      <c r="I300" t="s">
        <v>18</v>
      </c>
      <c r="J300" t="s">
        <v>41</v>
      </c>
      <c r="K300">
        <v>287411.95</v>
      </c>
      <c r="L300">
        <v>0.58670007057255213</v>
      </c>
    </row>
    <row r="301" spans="1:12" x14ac:dyDescent="0.35">
      <c r="A301" t="s">
        <v>1144</v>
      </c>
      <c r="B301" s="1">
        <v>46165</v>
      </c>
      <c r="C301" t="s">
        <v>99</v>
      </c>
      <c r="D301" t="s">
        <v>53</v>
      </c>
      <c r="E301" t="s">
        <v>37</v>
      </c>
      <c r="F301" t="s">
        <v>74</v>
      </c>
      <c r="G301">
        <v>229725.17</v>
      </c>
      <c r="H301">
        <v>118460.73</v>
      </c>
      <c r="I301" t="s">
        <v>32</v>
      </c>
      <c r="J301" t="s">
        <v>41</v>
      </c>
      <c r="K301">
        <v>111264.44000000002</v>
      </c>
      <c r="L301">
        <v>0.48433717559116407</v>
      </c>
    </row>
    <row r="302" spans="1:12" x14ac:dyDescent="0.35">
      <c r="A302" t="s">
        <v>1148</v>
      </c>
      <c r="B302" s="1">
        <v>46199</v>
      </c>
      <c r="C302" t="s">
        <v>12</v>
      </c>
      <c r="D302" t="s">
        <v>36</v>
      </c>
      <c r="E302" t="s">
        <v>14</v>
      </c>
      <c r="F302" t="s">
        <v>46</v>
      </c>
      <c r="G302">
        <v>487026.25</v>
      </c>
      <c r="H302">
        <v>197471.47</v>
      </c>
      <c r="I302" t="s">
        <v>18</v>
      </c>
      <c r="J302" t="s">
        <v>41</v>
      </c>
      <c r="K302">
        <v>289554.78000000003</v>
      </c>
      <c r="L302">
        <v>0.59453629039502498</v>
      </c>
    </row>
    <row r="303" spans="1:12" x14ac:dyDescent="0.35">
      <c r="A303" t="s">
        <v>1151</v>
      </c>
      <c r="B303" s="1">
        <v>46051</v>
      </c>
      <c r="C303" t="s">
        <v>3383</v>
      </c>
      <c r="D303" t="s">
        <v>53</v>
      </c>
      <c r="E303" t="s">
        <v>45</v>
      </c>
      <c r="F303" t="s">
        <v>25</v>
      </c>
      <c r="G303">
        <v>208136.41</v>
      </c>
      <c r="H303">
        <v>190223.06</v>
      </c>
      <c r="I303" t="s">
        <v>18</v>
      </c>
      <c r="J303" t="s">
        <v>19</v>
      </c>
      <c r="K303">
        <v>17913.350000000006</v>
      </c>
      <c r="L303">
        <v>8.6065431800231421E-2</v>
      </c>
    </row>
    <row r="304" spans="1:12" x14ac:dyDescent="0.35">
      <c r="A304" t="s">
        <v>1155</v>
      </c>
      <c r="B304" s="1">
        <v>46031</v>
      </c>
      <c r="C304" t="s">
        <v>12</v>
      </c>
      <c r="D304" t="s">
        <v>36</v>
      </c>
      <c r="E304" t="s">
        <v>14</v>
      </c>
      <c r="F304" t="s">
        <v>79</v>
      </c>
      <c r="G304">
        <v>268600.23</v>
      </c>
      <c r="H304">
        <v>198954.86</v>
      </c>
      <c r="I304" t="s">
        <v>18</v>
      </c>
      <c r="J304" t="s">
        <v>19</v>
      </c>
      <c r="K304">
        <v>69645.37</v>
      </c>
      <c r="L304">
        <v>0.25929006092064777</v>
      </c>
    </row>
    <row r="305" spans="1:12" x14ac:dyDescent="0.35">
      <c r="A305" t="s">
        <v>1159</v>
      </c>
      <c r="B305" s="1">
        <v>46156</v>
      </c>
      <c r="C305" t="s">
        <v>12</v>
      </c>
      <c r="D305" t="s">
        <v>36</v>
      </c>
      <c r="E305" t="s">
        <v>109</v>
      </c>
      <c r="F305" t="s">
        <v>38</v>
      </c>
      <c r="G305">
        <v>223192.27</v>
      </c>
      <c r="H305">
        <v>179683.91</v>
      </c>
      <c r="I305" t="s">
        <v>18</v>
      </c>
      <c r="J305" t="s">
        <v>41</v>
      </c>
      <c r="K305">
        <v>43508.359999999986</v>
      </c>
      <c r="L305">
        <v>0.19493667948267199</v>
      </c>
    </row>
    <row r="306" spans="1:12" x14ac:dyDescent="0.35">
      <c r="A306" t="s">
        <v>1163</v>
      </c>
      <c r="B306" s="1">
        <v>46087</v>
      </c>
      <c r="C306" t="s">
        <v>12</v>
      </c>
      <c r="D306" t="s">
        <v>36</v>
      </c>
      <c r="E306" t="s">
        <v>134</v>
      </c>
      <c r="F306" t="s">
        <v>74</v>
      </c>
      <c r="G306">
        <v>186280.16</v>
      </c>
      <c r="H306">
        <v>134770.74</v>
      </c>
      <c r="I306" t="s">
        <v>18</v>
      </c>
      <c r="J306" t="s">
        <v>41</v>
      </c>
      <c r="K306">
        <v>51509.420000000013</v>
      </c>
      <c r="L306">
        <v>0.27651586728291416</v>
      </c>
    </row>
    <row r="307" spans="1:12" x14ac:dyDescent="0.35">
      <c r="A307" t="s">
        <v>1166</v>
      </c>
      <c r="B307" s="1">
        <v>46190</v>
      </c>
      <c r="C307" t="s">
        <v>52</v>
      </c>
      <c r="D307" t="s">
        <v>36</v>
      </c>
      <c r="E307" t="s">
        <v>109</v>
      </c>
      <c r="F307" t="s">
        <v>15</v>
      </c>
      <c r="G307">
        <v>264211.96999999997</v>
      </c>
      <c r="H307">
        <v>230551.13</v>
      </c>
      <c r="I307" t="s">
        <v>49</v>
      </c>
      <c r="J307" t="s">
        <v>41</v>
      </c>
      <c r="K307">
        <v>33660.839999999967</v>
      </c>
      <c r="L307">
        <v>0.12740088952063744</v>
      </c>
    </row>
    <row r="308" spans="1:12" x14ac:dyDescent="0.35">
      <c r="A308" t="s">
        <v>1169</v>
      </c>
      <c r="B308" s="1">
        <v>46133</v>
      </c>
      <c r="C308" t="s">
        <v>12</v>
      </c>
      <c r="D308" t="s">
        <v>23</v>
      </c>
      <c r="E308" t="s">
        <v>37</v>
      </c>
      <c r="F308" t="s">
        <v>79</v>
      </c>
      <c r="G308">
        <v>497740.26</v>
      </c>
      <c r="H308">
        <v>408874.83</v>
      </c>
      <c r="I308" t="s">
        <v>32</v>
      </c>
      <c r="J308" t="s">
        <v>41</v>
      </c>
      <c r="K308">
        <v>88865.43</v>
      </c>
      <c r="L308">
        <v>0.17853775782573825</v>
      </c>
    </row>
    <row r="309" spans="1:12" x14ac:dyDescent="0.35">
      <c r="A309" t="s">
        <v>1173</v>
      </c>
      <c r="B309" s="1">
        <v>46180</v>
      </c>
      <c r="C309" t="s">
        <v>12</v>
      </c>
      <c r="D309" t="s">
        <v>23</v>
      </c>
      <c r="E309" t="s">
        <v>14</v>
      </c>
      <c r="F309" t="s">
        <v>25</v>
      </c>
      <c r="G309">
        <v>110111.71</v>
      </c>
      <c r="H309">
        <v>95212.3</v>
      </c>
      <c r="I309" t="s">
        <v>32</v>
      </c>
      <c r="J309" t="s">
        <v>19</v>
      </c>
      <c r="K309">
        <v>14899.410000000003</v>
      </c>
      <c r="L309">
        <v>0.13531176656869648</v>
      </c>
    </row>
    <row r="310" spans="1:12" x14ac:dyDescent="0.35">
      <c r="A310" t="s">
        <v>1177</v>
      </c>
      <c r="B310" s="1">
        <v>46075</v>
      </c>
      <c r="C310" t="s">
        <v>12</v>
      </c>
      <c r="D310" t="s">
        <v>36</v>
      </c>
      <c r="E310" t="s">
        <v>134</v>
      </c>
      <c r="F310" t="s">
        <v>46</v>
      </c>
      <c r="G310">
        <v>171173.98</v>
      </c>
      <c r="H310">
        <v>102899.97</v>
      </c>
      <c r="I310" t="s">
        <v>32</v>
      </c>
      <c r="J310" t="s">
        <v>41</v>
      </c>
      <c r="K310">
        <v>68274.010000000009</v>
      </c>
      <c r="L310">
        <v>0.3988574081177525</v>
      </c>
    </row>
    <row r="311" spans="1:12" x14ac:dyDescent="0.35">
      <c r="A311" t="s">
        <v>1180</v>
      </c>
      <c r="B311" s="1">
        <v>46132</v>
      </c>
      <c r="C311" t="s">
        <v>12</v>
      </c>
      <c r="D311" t="s">
        <v>36</v>
      </c>
      <c r="E311" t="s">
        <v>134</v>
      </c>
      <c r="F311" t="s">
        <v>15</v>
      </c>
      <c r="G311">
        <v>114313.34</v>
      </c>
      <c r="H311">
        <v>95935.14</v>
      </c>
      <c r="I311" t="s">
        <v>32</v>
      </c>
      <c r="J311" t="s">
        <v>41</v>
      </c>
      <c r="K311">
        <v>18378.199999999997</v>
      </c>
      <c r="L311">
        <v>0.16077038777801433</v>
      </c>
    </row>
    <row r="312" spans="1:12" x14ac:dyDescent="0.35">
      <c r="A312" t="s">
        <v>1183</v>
      </c>
      <c r="B312" s="1">
        <v>46062</v>
      </c>
      <c r="C312" t="s">
        <v>99</v>
      </c>
      <c r="D312" t="s">
        <v>23</v>
      </c>
      <c r="E312" t="s">
        <v>14</v>
      </c>
      <c r="F312" t="s">
        <v>15</v>
      </c>
      <c r="G312">
        <v>486260.15</v>
      </c>
      <c r="H312">
        <v>286582.51</v>
      </c>
      <c r="I312" t="s">
        <v>32</v>
      </c>
      <c r="J312" t="s">
        <v>19</v>
      </c>
      <c r="K312">
        <v>199677.64</v>
      </c>
      <c r="L312">
        <v>0.41063953112341206</v>
      </c>
    </row>
    <row r="313" spans="1:12" x14ac:dyDescent="0.35">
      <c r="A313" t="s">
        <v>1186</v>
      </c>
      <c r="B313" s="1">
        <v>46101</v>
      </c>
      <c r="C313" t="s">
        <v>67</v>
      </c>
      <c r="D313" t="s">
        <v>36</v>
      </c>
      <c r="E313" t="s">
        <v>37</v>
      </c>
      <c r="F313" t="s">
        <v>25</v>
      </c>
      <c r="G313">
        <v>327114.63</v>
      </c>
      <c r="H313">
        <v>226205.32</v>
      </c>
      <c r="I313" t="s">
        <v>18</v>
      </c>
      <c r="J313" t="s">
        <v>41</v>
      </c>
      <c r="K313">
        <v>100909.31</v>
      </c>
      <c r="L313">
        <v>0.308483023214217</v>
      </c>
    </row>
    <row r="314" spans="1:12" x14ac:dyDescent="0.35">
      <c r="A314" t="s">
        <v>1189</v>
      </c>
      <c r="B314" s="1">
        <v>46136</v>
      </c>
      <c r="C314" t="s">
        <v>12</v>
      </c>
      <c r="D314" t="s">
        <v>53</v>
      </c>
      <c r="E314" t="s">
        <v>37</v>
      </c>
      <c r="F314" t="s">
        <v>79</v>
      </c>
      <c r="G314">
        <v>481745.69</v>
      </c>
      <c r="H314">
        <v>334000.3</v>
      </c>
      <c r="I314" t="s">
        <v>49</v>
      </c>
      <c r="J314" t="s">
        <v>41</v>
      </c>
      <c r="K314">
        <v>147745.39000000001</v>
      </c>
      <c r="L314">
        <v>0.30668751805542882</v>
      </c>
    </row>
    <row r="315" spans="1:12" x14ac:dyDescent="0.35">
      <c r="A315" t="s">
        <v>1192</v>
      </c>
      <c r="B315" s="1">
        <v>46029</v>
      </c>
      <c r="C315" t="s">
        <v>12</v>
      </c>
      <c r="D315" t="s">
        <v>53</v>
      </c>
      <c r="E315" t="s">
        <v>134</v>
      </c>
      <c r="F315" t="s">
        <v>46</v>
      </c>
      <c r="G315">
        <v>395634.82</v>
      </c>
      <c r="H315">
        <v>158331.73000000001</v>
      </c>
      <c r="I315" t="s">
        <v>32</v>
      </c>
      <c r="J315" t="s">
        <v>19</v>
      </c>
      <c r="K315">
        <v>237303.09</v>
      </c>
      <c r="L315">
        <v>0.59980334895700027</v>
      </c>
    </row>
    <row r="316" spans="1:12" x14ac:dyDescent="0.35">
      <c r="A316" t="s">
        <v>1195</v>
      </c>
      <c r="B316" s="1">
        <v>46071</v>
      </c>
      <c r="C316" t="s">
        <v>12</v>
      </c>
      <c r="D316" t="s">
        <v>23</v>
      </c>
      <c r="E316" t="s">
        <v>109</v>
      </c>
      <c r="F316" t="s">
        <v>15</v>
      </c>
      <c r="G316">
        <v>437342.61</v>
      </c>
      <c r="H316">
        <v>191317.53</v>
      </c>
      <c r="I316" t="s">
        <v>32</v>
      </c>
      <c r="J316" t="s">
        <v>19</v>
      </c>
      <c r="K316">
        <v>246025.08</v>
      </c>
      <c r="L316">
        <v>0.56254541490937737</v>
      </c>
    </row>
    <row r="317" spans="1:12" x14ac:dyDescent="0.35">
      <c r="A317" t="s">
        <v>1199</v>
      </c>
      <c r="B317" s="1">
        <v>46073</v>
      </c>
      <c r="C317" t="s">
        <v>12</v>
      </c>
      <c r="D317" t="s">
        <v>23</v>
      </c>
      <c r="E317" t="s">
        <v>109</v>
      </c>
      <c r="F317" t="s">
        <v>79</v>
      </c>
      <c r="G317">
        <v>371344.56</v>
      </c>
      <c r="H317">
        <v>192236.09</v>
      </c>
      <c r="I317" t="s">
        <v>49</v>
      </c>
      <c r="J317" t="s">
        <v>41</v>
      </c>
      <c r="K317">
        <v>179108.47</v>
      </c>
      <c r="L317">
        <v>0.4823242058534532</v>
      </c>
    </row>
    <row r="318" spans="1:12" x14ac:dyDescent="0.35">
      <c r="A318" t="s">
        <v>1202</v>
      </c>
      <c r="B318" s="1">
        <v>46026</v>
      </c>
      <c r="C318" t="s">
        <v>12</v>
      </c>
      <c r="D318" t="s">
        <v>36</v>
      </c>
      <c r="E318" t="s">
        <v>134</v>
      </c>
      <c r="F318" t="s">
        <v>38</v>
      </c>
      <c r="G318">
        <v>438264.97</v>
      </c>
      <c r="H318">
        <v>202428.04</v>
      </c>
      <c r="I318" t="s">
        <v>49</v>
      </c>
      <c r="J318" t="s">
        <v>19</v>
      </c>
      <c r="K318">
        <v>235836.92999999996</v>
      </c>
      <c r="L318">
        <v>0.53811494448210173</v>
      </c>
    </row>
    <row r="319" spans="1:12" x14ac:dyDescent="0.35">
      <c r="A319" t="s">
        <v>1206</v>
      </c>
      <c r="B319" s="1">
        <v>46190</v>
      </c>
      <c r="C319" t="s">
        <v>12</v>
      </c>
      <c r="D319" t="s">
        <v>53</v>
      </c>
      <c r="E319" t="s">
        <v>14</v>
      </c>
      <c r="F319" t="s">
        <v>25</v>
      </c>
      <c r="G319">
        <v>80350.66</v>
      </c>
      <c r="H319">
        <v>43106.75</v>
      </c>
      <c r="I319" t="s">
        <v>18</v>
      </c>
      <c r="J319" t="s">
        <v>41</v>
      </c>
      <c r="K319">
        <v>37243.910000000003</v>
      </c>
      <c r="L319">
        <v>0.4635171633935552</v>
      </c>
    </row>
    <row r="320" spans="1:12" x14ac:dyDescent="0.35">
      <c r="A320" t="s">
        <v>1210</v>
      </c>
      <c r="B320" s="1">
        <v>46023</v>
      </c>
      <c r="C320" t="s">
        <v>12</v>
      </c>
      <c r="D320" t="s">
        <v>36</v>
      </c>
      <c r="E320" t="s">
        <v>134</v>
      </c>
      <c r="F320" t="s">
        <v>74</v>
      </c>
      <c r="G320">
        <v>326956.90999999997</v>
      </c>
      <c r="H320">
        <v>183105.49</v>
      </c>
      <c r="I320" t="s">
        <v>32</v>
      </c>
      <c r="J320" t="s">
        <v>41</v>
      </c>
      <c r="K320">
        <v>143851.41999999998</v>
      </c>
      <c r="L320">
        <v>0.43997057593919636</v>
      </c>
    </row>
    <row r="321" spans="1:12" x14ac:dyDescent="0.35">
      <c r="A321" t="s">
        <v>1213</v>
      </c>
      <c r="B321" s="1">
        <v>46163</v>
      </c>
      <c r="C321" t="s">
        <v>12</v>
      </c>
      <c r="D321" t="s">
        <v>23</v>
      </c>
      <c r="E321" t="s">
        <v>14</v>
      </c>
      <c r="F321" t="s">
        <v>25</v>
      </c>
      <c r="G321">
        <v>359121.84</v>
      </c>
      <c r="H321">
        <v>194289.36</v>
      </c>
      <c r="I321" t="s">
        <v>32</v>
      </c>
      <c r="J321" t="s">
        <v>19</v>
      </c>
      <c r="K321">
        <v>164832.48000000004</v>
      </c>
      <c r="L321">
        <v>0.45898762381034813</v>
      </c>
    </row>
    <row r="322" spans="1:12" x14ac:dyDescent="0.35">
      <c r="A322" t="s">
        <v>1216</v>
      </c>
      <c r="B322" s="1">
        <v>46158</v>
      </c>
      <c r="C322" t="s">
        <v>3383</v>
      </c>
      <c r="D322" t="s">
        <v>36</v>
      </c>
      <c r="E322" t="s">
        <v>24</v>
      </c>
      <c r="F322" t="s">
        <v>15</v>
      </c>
      <c r="G322">
        <v>356823.23</v>
      </c>
      <c r="H322">
        <v>177540.5</v>
      </c>
      <c r="I322" t="s">
        <v>18</v>
      </c>
      <c r="J322" t="s">
        <v>19</v>
      </c>
      <c r="K322">
        <v>179282.72999999998</v>
      </c>
      <c r="L322">
        <v>0.50244130686222421</v>
      </c>
    </row>
    <row r="323" spans="1:12" x14ac:dyDescent="0.35">
      <c r="A323" t="s">
        <v>1219</v>
      </c>
      <c r="B323" s="1">
        <v>46201</v>
      </c>
      <c r="C323" t="s">
        <v>12</v>
      </c>
      <c r="D323" t="s">
        <v>36</v>
      </c>
      <c r="E323" t="s">
        <v>37</v>
      </c>
      <c r="F323" t="s">
        <v>38</v>
      </c>
      <c r="G323">
        <v>356032.07</v>
      </c>
      <c r="H323">
        <v>285573.64</v>
      </c>
      <c r="I323" t="s">
        <v>32</v>
      </c>
      <c r="J323" t="s">
        <v>19</v>
      </c>
      <c r="K323">
        <v>70458.429999999993</v>
      </c>
      <c r="L323">
        <v>0.19789911060540133</v>
      </c>
    </row>
    <row r="324" spans="1:12" x14ac:dyDescent="0.35">
      <c r="A324" t="s">
        <v>1222</v>
      </c>
      <c r="B324" s="1">
        <v>46043</v>
      </c>
      <c r="C324" t="s">
        <v>99</v>
      </c>
      <c r="D324" t="s">
        <v>23</v>
      </c>
      <c r="E324" t="s">
        <v>109</v>
      </c>
      <c r="F324" t="s">
        <v>15</v>
      </c>
      <c r="G324">
        <v>495155.13</v>
      </c>
      <c r="H324">
        <v>387660.61</v>
      </c>
      <c r="I324" t="s">
        <v>18</v>
      </c>
      <c r="J324" t="s">
        <v>19</v>
      </c>
      <c r="K324">
        <v>107494.52000000002</v>
      </c>
      <c r="L324">
        <v>0.21709261095608565</v>
      </c>
    </row>
    <row r="325" spans="1:12" x14ac:dyDescent="0.35">
      <c r="A325" t="s">
        <v>1225</v>
      </c>
      <c r="B325" s="1">
        <v>46133</v>
      </c>
      <c r="C325" t="s">
        <v>99</v>
      </c>
      <c r="D325" t="s">
        <v>53</v>
      </c>
      <c r="E325" t="s">
        <v>134</v>
      </c>
      <c r="F325" t="s">
        <v>46</v>
      </c>
      <c r="G325">
        <v>461062.02</v>
      </c>
      <c r="H325">
        <v>402080.98</v>
      </c>
      <c r="I325" t="s">
        <v>49</v>
      </c>
      <c r="J325" t="s">
        <v>19</v>
      </c>
      <c r="K325">
        <v>58981.040000000037</v>
      </c>
      <c r="L325">
        <v>0.12792430831756654</v>
      </c>
    </row>
    <row r="326" spans="1:12" x14ac:dyDescent="0.35">
      <c r="A326" t="s">
        <v>1228</v>
      </c>
      <c r="B326" s="1">
        <v>46173</v>
      </c>
      <c r="C326" t="s">
        <v>52</v>
      </c>
      <c r="D326" t="s">
        <v>36</v>
      </c>
      <c r="E326" t="s">
        <v>14</v>
      </c>
      <c r="F326" t="s">
        <v>25</v>
      </c>
      <c r="G326">
        <v>422524.3</v>
      </c>
      <c r="H326">
        <v>393004.93</v>
      </c>
      <c r="I326" t="s">
        <v>49</v>
      </c>
      <c r="J326" t="s">
        <v>19</v>
      </c>
      <c r="K326">
        <v>29519.369999999995</v>
      </c>
      <c r="L326">
        <v>6.9864313129446035E-2</v>
      </c>
    </row>
    <row r="327" spans="1:12" x14ac:dyDescent="0.35">
      <c r="A327" t="s">
        <v>1232</v>
      </c>
      <c r="B327" s="1">
        <v>46124</v>
      </c>
      <c r="C327" t="s">
        <v>12</v>
      </c>
      <c r="D327" t="s">
        <v>53</v>
      </c>
      <c r="E327" t="s">
        <v>109</v>
      </c>
      <c r="F327" t="s">
        <v>38</v>
      </c>
      <c r="G327">
        <v>178040.49</v>
      </c>
      <c r="H327">
        <v>150835.29999999999</v>
      </c>
      <c r="I327" t="s">
        <v>49</v>
      </c>
      <c r="J327" t="s">
        <v>41</v>
      </c>
      <c r="K327">
        <v>27205.190000000002</v>
      </c>
      <c r="L327">
        <v>0.15280338758896925</v>
      </c>
    </row>
    <row r="328" spans="1:12" x14ac:dyDescent="0.35">
      <c r="A328" t="s">
        <v>1235</v>
      </c>
      <c r="B328" s="1">
        <v>46046</v>
      </c>
      <c r="C328" t="s">
        <v>3383</v>
      </c>
      <c r="D328" t="s">
        <v>36</v>
      </c>
      <c r="E328" t="s">
        <v>45</v>
      </c>
      <c r="F328" t="s">
        <v>25</v>
      </c>
      <c r="G328">
        <v>459529.81</v>
      </c>
      <c r="H328">
        <v>190884.13</v>
      </c>
      <c r="I328" t="s">
        <v>32</v>
      </c>
      <c r="J328" t="s">
        <v>19</v>
      </c>
      <c r="K328">
        <v>268645.68</v>
      </c>
      <c r="L328">
        <v>0.58460990811455738</v>
      </c>
    </row>
    <row r="329" spans="1:12" x14ac:dyDescent="0.35">
      <c r="A329" t="s">
        <v>1238</v>
      </c>
      <c r="B329" s="1">
        <v>46027</v>
      </c>
      <c r="C329" t="s">
        <v>67</v>
      </c>
      <c r="D329" t="s">
        <v>36</v>
      </c>
      <c r="E329" t="s">
        <v>14</v>
      </c>
      <c r="F329" t="s">
        <v>46</v>
      </c>
      <c r="G329">
        <v>146265.81</v>
      </c>
      <c r="H329">
        <v>109996.21</v>
      </c>
      <c r="I329" t="s">
        <v>49</v>
      </c>
      <c r="J329" t="s">
        <v>19</v>
      </c>
      <c r="K329">
        <v>36269.599999999991</v>
      </c>
      <c r="L329">
        <v>0.24797045871485612</v>
      </c>
    </row>
    <row r="330" spans="1:12" x14ac:dyDescent="0.35">
      <c r="A330" t="s">
        <v>1241</v>
      </c>
      <c r="B330" s="1">
        <v>46027</v>
      </c>
      <c r="C330" t="s">
        <v>12</v>
      </c>
      <c r="D330" t="s">
        <v>36</v>
      </c>
      <c r="E330" t="s">
        <v>14</v>
      </c>
      <c r="F330" t="s">
        <v>25</v>
      </c>
      <c r="G330">
        <v>369649.49</v>
      </c>
      <c r="H330">
        <v>317313.99</v>
      </c>
      <c r="I330" t="s">
        <v>49</v>
      </c>
      <c r="J330" t="s">
        <v>19</v>
      </c>
      <c r="K330">
        <v>52335.5</v>
      </c>
      <c r="L330">
        <v>0.14158142082111355</v>
      </c>
    </row>
    <row r="331" spans="1:12" x14ac:dyDescent="0.35">
      <c r="A331" t="s">
        <v>1244</v>
      </c>
      <c r="B331" s="1">
        <v>46100</v>
      </c>
      <c r="C331" t="s">
        <v>99</v>
      </c>
      <c r="D331" t="s">
        <v>53</v>
      </c>
      <c r="E331" t="s">
        <v>14</v>
      </c>
      <c r="F331" t="s">
        <v>25</v>
      </c>
      <c r="G331">
        <v>402955.39</v>
      </c>
      <c r="H331">
        <v>283092.68</v>
      </c>
      <c r="I331" t="s">
        <v>49</v>
      </c>
      <c r="J331" t="s">
        <v>19</v>
      </c>
      <c r="K331">
        <v>119862.71000000002</v>
      </c>
      <c r="L331">
        <v>0.29745900656645891</v>
      </c>
    </row>
    <row r="332" spans="1:12" x14ac:dyDescent="0.35">
      <c r="A332" t="s">
        <v>1247</v>
      </c>
      <c r="B332" s="1">
        <v>46033</v>
      </c>
      <c r="C332" t="s">
        <v>67</v>
      </c>
      <c r="D332" t="s">
        <v>23</v>
      </c>
      <c r="E332" t="s">
        <v>45</v>
      </c>
      <c r="F332" t="s">
        <v>25</v>
      </c>
      <c r="G332">
        <v>178323.64</v>
      </c>
      <c r="H332">
        <v>140365.18</v>
      </c>
      <c r="I332" t="s">
        <v>18</v>
      </c>
      <c r="J332" t="s">
        <v>19</v>
      </c>
      <c r="K332">
        <v>37958.460000000021</v>
      </c>
      <c r="L332">
        <v>0.21286274775458833</v>
      </c>
    </row>
    <row r="333" spans="1:12" x14ac:dyDescent="0.35">
      <c r="A333" t="s">
        <v>1251</v>
      </c>
      <c r="B333" s="1">
        <v>46127</v>
      </c>
      <c r="C333" t="s">
        <v>67</v>
      </c>
      <c r="D333" t="s">
        <v>53</v>
      </c>
      <c r="E333" t="s">
        <v>14</v>
      </c>
      <c r="F333" t="s">
        <v>15</v>
      </c>
      <c r="G333">
        <v>438073.4</v>
      </c>
      <c r="H333">
        <v>232900.53</v>
      </c>
      <c r="I333" t="s">
        <v>32</v>
      </c>
      <c r="J333" t="s">
        <v>19</v>
      </c>
      <c r="K333">
        <v>205172.87000000002</v>
      </c>
      <c r="L333">
        <v>0.46835272353902341</v>
      </c>
    </row>
    <row r="334" spans="1:12" x14ac:dyDescent="0.35">
      <c r="A334" t="s">
        <v>1254</v>
      </c>
      <c r="B334" s="1">
        <v>46080</v>
      </c>
      <c r="C334" t="s">
        <v>67</v>
      </c>
      <c r="D334" t="s">
        <v>23</v>
      </c>
      <c r="E334" t="s">
        <v>134</v>
      </c>
      <c r="F334" t="s">
        <v>38</v>
      </c>
      <c r="G334">
        <v>208957.25</v>
      </c>
      <c r="H334">
        <v>171128.18</v>
      </c>
      <c r="I334" t="s">
        <v>49</v>
      </c>
      <c r="J334" t="s">
        <v>19</v>
      </c>
      <c r="K334">
        <v>37829.070000000007</v>
      </c>
      <c r="L334">
        <v>0.18103736529840436</v>
      </c>
    </row>
    <row r="335" spans="1:12" x14ac:dyDescent="0.35">
      <c r="A335" t="s">
        <v>1258</v>
      </c>
      <c r="B335" s="1">
        <v>46161</v>
      </c>
      <c r="C335" t="s">
        <v>12</v>
      </c>
      <c r="D335" t="s">
        <v>23</v>
      </c>
      <c r="E335" t="s">
        <v>109</v>
      </c>
      <c r="F335" t="s">
        <v>38</v>
      </c>
      <c r="G335">
        <v>239091.55</v>
      </c>
      <c r="H335">
        <v>106411.23</v>
      </c>
      <c r="I335" t="s">
        <v>32</v>
      </c>
      <c r="J335" t="s">
        <v>41</v>
      </c>
      <c r="K335">
        <v>132680.32000000001</v>
      </c>
      <c r="L335">
        <v>0.55493521205580043</v>
      </c>
    </row>
    <row r="336" spans="1:12" x14ac:dyDescent="0.35">
      <c r="A336" t="s">
        <v>1261</v>
      </c>
      <c r="B336" s="1">
        <v>46088</v>
      </c>
      <c r="C336" t="s">
        <v>52</v>
      </c>
      <c r="D336" t="s">
        <v>53</v>
      </c>
      <c r="E336" t="s">
        <v>37</v>
      </c>
      <c r="F336" t="s">
        <v>38</v>
      </c>
      <c r="G336">
        <v>434534.96</v>
      </c>
      <c r="H336">
        <v>285197.19</v>
      </c>
      <c r="I336" t="s">
        <v>32</v>
      </c>
      <c r="J336" t="s">
        <v>19</v>
      </c>
      <c r="K336">
        <v>149337.77000000002</v>
      </c>
      <c r="L336">
        <v>0.34367262417735045</v>
      </c>
    </row>
    <row r="337" spans="1:12" x14ac:dyDescent="0.35">
      <c r="A337" t="s">
        <v>1264</v>
      </c>
      <c r="B337" s="1">
        <v>46111</v>
      </c>
      <c r="C337" t="s">
        <v>12</v>
      </c>
      <c r="D337" t="s">
        <v>53</v>
      </c>
      <c r="E337" t="s">
        <v>14</v>
      </c>
      <c r="F337" t="s">
        <v>74</v>
      </c>
      <c r="G337">
        <v>110184.2</v>
      </c>
      <c r="H337">
        <v>82841.39</v>
      </c>
      <c r="I337" t="s">
        <v>32</v>
      </c>
      <c r="J337" t="s">
        <v>19</v>
      </c>
      <c r="K337">
        <v>27342.809999999998</v>
      </c>
      <c r="L337">
        <v>0.24815545241513753</v>
      </c>
    </row>
    <row r="338" spans="1:12" x14ac:dyDescent="0.35">
      <c r="A338" t="s">
        <v>1268</v>
      </c>
      <c r="B338" s="1">
        <v>46196</v>
      </c>
      <c r="C338" t="s">
        <v>3383</v>
      </c>
      <c r="D338" t="s">
        <v>23</v>
      </c>
      <c r="E338" t="s">
        <v>109</v>
      </c>
      <c r="F338" t="s">
        <v>46</v>
      </c>
      <c r="G338">
        <v>275244.53000000003</v>
      </c>
      <c r="H338">
        <v>204229.61</v>
      </c>
      <c r="I338" t="s">
        <v>32</v>
      </c>
      <c r="J338" t="s">
        <v>41</v>
      </c>
      <c r="K338">
        <v>71014.920000000042</v>
      </c>
      <c r="L338">
        <v>0.25800665321123745</v>
      </c>
    </row>
    <row r="339" spans="1:12" x14ac:dyDescent="0.35">
      <c r="A339" t="s">
        <v>1272</v>
      </c>
      <c r="B339" s="1">
        <v>46049</v>
      </c>
      <c r="C339" t="s">
        <v>52</v>
      </c>
      <c r="D339" t="s">
        <v>53</v>
      </c>
      <c r="E339" t="s">
        <v>14</v>
      </c>
      <c r="F339" t="s">
        <v>38</v>
      </c>
      <c r="G339">
        <v>419945.82</v>
      </c>
      <c r="H339">
        <v>318971.18</v>
      </c>
      <c r="I339" t="s">
        <v>49</v>
      </c>
      <c r="J339" t="s">
        <v>19</v>
      </c>
      <c r="K339">
        <v>100974.64000000001</v>
      </c>
      <c r="L339">
        <v>0.24044682716451377</v>
      </c>
    </row>
    <row r="340" spans="1:12" x14ac:dyDescent="0.35">
      <c r="A340" t="s">
        <v>1275</v>
      </c>
      <c r="B340" s="1">
        <v>46135</v>
      </c>
      <c r="C340" t="s">
        <v>52</v>
      </c>
      <c r="D340" t="s">
        <v>23</v>
      </c>
      <c r="E340" t="s">
        <v>37</v>
      </c>
      <c r="F340" t="s">
        <v>15</v>
      </c>
      <c r="G340">
        <v>499083.85</v>
      </c>
      <c r="H340">
        <v>291463.39</v>
      </c>
      <c r="I340" t="s">
        <v>49</v>
      </c>
      <c r="J340" t="s">
        <v>41</v>
      </c>
      <c r="K340">
        <v>207620.45999999996</v>
      </c>
      <c r="L340">
        <v>0.41600316259482245</v>
      </c>
    </row>
    <row r="341" spans="1:12" x14ac:dyDescent="0.35">
      <c r="A341" t="s">
        <v>1278</v>
      </c>
      <c r="B341" s="1">
        <v>46174</v>
      </c>
      <c r="C341" t="s">
        <v>12</v>
      </c>
      <c r="D341" t="s">
        <v>23</v>
      </c>
      <c r="E341" t="s">
        <v>37</v>
      </c>
      <c r="F341" t="s">
        <v>74</v>
      </c>
      <c r="G341">
        <v>191264.02</v>
      </c>
      <c r="H341">
        <v>157838.10999999999</v>
      </c>
      <c r="I341" t="s">
        <v>32</v>
      </c>
      <c r="J341" t="s">
        <v>19</v>
      </c>
      <c r="K341">
        <v>33425.910000000003</v>
      </c>
      <c r="L341">
        <v>0.17476318860180814</v>
      </c>
    </row>
    <row r="342" spans="1:12" x14ac:dyDescent="0.35">
      <c r="A342" t="s">
        <v>1282</v>
      </c>
      <c r="B342" s="1">
        <v>46136</v>
      </c>
      <c r="C342" t="s">
        <v>67</v>
      </c>
      <c r="D342" t="s">
        <v>23</v>
      </c>
      <c r="E342" t="s">
        <v>14</v>
      </c>
      <c r="F342" t="s">
        <v>15</v>
      </c>
      <c r="G342">
        <v>292361.34999999998</v>
      </c>
      <c r="H342">
        <v>193198.9</v>
      </c>
      <c r="I342" t="s">
        <v>18</v>
      </c>
      <c r="J342" t="s">
        <v>19</v>
      </c>
      <c r="K342">
        <v>99162.449999999983</v>
      </c>
      <c r="L342">
        <v>0.33917769910420781</v>
      </c>
    </row>
    <row r="343" spans="1:12" x14ac:dyDescent="0.35">
      <c r="A343" t="s">
        <v>1285</v>
      </c>
      <c r="B343" s="1">
        <v>46071</v>
      </c>
      <c r="C343" t="s">
        <v>52</v>
      </c>
      <c r="D343" t="s">
        <v>53</v>
      </c>
      <c r="E343" t="s">
        <v>134</v>
      </c>
      <c r="F343" t="s">
        <v>79</v>
      </c>
      <c r="G343">
        <v>140122.60999999999</v>
      </c>
      <c r="H343">
        <v>58157.15</v>
      </c>
      <c r="I343" t="s">
        <v>18</v>
      </c>
      <c r="J343" t="s">
        <v>41</v>
      </c>
      <c r="K343">
        <v>81965.459999999992</v>
      </c>
      <c r="L343">
        <v>0.58495527595439456</v>
      </c>
    </row>
    <row r="344" spans="1:12" x14ac:dyDescent="0.35">
      <c r="A344" t="s">
        <v>1288</v>
      </c>
      <c r="B344" s="1">
        <v>46171</v>
      </c>
      <c r="C344" t="s">
        <v>67</v>
      </c>
      <c r="D344" t="s">
        <v>53</v>
      </c>
      <c r="E344" t="s">
        <v>37</v>
      </c>
      <c r="F344" t="s">
        <v>15</v>
      </c>
      <c r="G344">
        <v>156702.34</v>
      </c>
      <c r="H344">
        <v>141186.67000000001</v>
      </c>
      <c r="I344" t="s">
        <v>18</v>
      </c>
      <c r="J344" t="s">
        <v>41</v>
      </c>
      <c r="K344">
        <v>15515.669999999984</v>
      </c>
      <c r="L344">
        <v>9.9013645871529318E-2</v>
      </c>
    </row>
    <row r="345" spans="1:12" x14ac:dyDescent="0.35">
      <c r="A345" t="s">
        <v>1291</v>
      </c>
      <c r="B345" s="1">
        <v>46140</v>
      </c>
      <c r="C345" t="s">
        <v>12</v>
      </c>
      <c r="D345" t="s">
        <v>23</v>
      </c>
      <c r="E345" t="s">
        <v>24</v>
      </c>
      <c r="F345" t="s">
        <v>15</v>
      </c>
      <c r="G345">
        <v>324871.05</v>
      </c>
      <c r="H345">
        <v>153869.07</v>
      </c>
      <c r="I345" t="s">
        <v>32</v>
      </c>
      <c r="J345" t="s">
        <v>41</v>
      </c>
      <c r="K345">
        <v>171001.97999999998</v>
      </c>
      <c r="L345">
        <v>0.5263687853996224</v>
      </c>
    </row>
    <row r="346" spans="1:12" x14ac:dyDescent="0.35">
      <c r="A346" t="s">
        <v>1295</v>
      </c>
      <c r="B346" s="1">
        <v>46082</v>
      </c>
      <c r="C346" t="s">
        <v>12</v>
      </c>
      <c r="D346" t="s">
        <v>23</v>
      </c>
      <c r="E346" t="s">
        <v>14</v>
      </c>
      <c r="F346" t="s">
        <v>25</v>
      </c>
      <c r="G346">
        <v>322089.61</v>
      </c>
      <c r="H346">
        <v>185500.39</v>
      </c>
      <c r="I346" t="s">
        <v>49</v>
      </c>
      <c r="J346" t="s">
        <v>41</v>
      </c>
      <c r="K346">
        <v>136589.21999999997</v>
      </c>
      <c r="L346">
        <v>0.42407210838002496</v>
      </c>
    </row>
    <row r="347" spans="1:12" x14ac:dyDescent="0.35">
      <c r="A347" t="s">
        <v>1299</v>
      </c>
      <c r="B347" s="1">
        <v>46067</v>
      </c>
      <c r="C347" t="s">
        <v>67</v>
      </c>
      <c r="D347" t="s">
        <v>53</v>
      </c>
      <c r="E347" t="s">
        <v>109</v>
      </c>
      <c r="F347" t="s">
        <v>74</v>
      </c>
      <c r="G347">
        <v>366639.2</v>
      </c>
      <c r="H347">
        <v>309131.62</v>
      </c>
      <c r="I347" t="s">
        <v>18</v>
      </c>
      <c r="J347" t="s">
        <v>41</v>
      </c>
      <c r="K347">
        <v>57507.580000000016</v>
      </c>
      <c r="L347">
        <v>0.15685060408161489</v>
      </c>
    </row>
    <row r="348" spans="1:12" x14ac:dyDescent="0.35">
      <c r="A348" t="s">
        <v>1303</v>
      </c>
      <c r="B348" s="1">
        <v>46190</v>
      </c>
      <c r="C348" t="s">
        <v>12</v>
      </c>
      <c r="D348" t="s">
        <v>36</v>
      </c>
      <c r="E348" t="s">
        <v>14</v>
      </c>
      <c r="F348" t="s">
        <v>38</v>
      </c>
      <c r="G348">
        <v>138341.65</v>
      </c>
      <c r="H348">
        <v>96196.479999999996</v>
      </c>
      <c r="I348" t="s">
        <v>49</v>
      </c>
      <c r="J348" t="s">
        <v>41</v>
      </c>
      <c r="K348">
        <v>42145.17</v>
      </c>
      <c r="L348">
        <v>0.30464556407994264</v>
      </c>
    </row>
    <row r="349" spans="1:12" x14ac:dyDescent="0.35">
      <c r="A349" t="s">
        <v>1306</v>
      </c>
      <c r="B349" s="1">
        <v>46067</v>
      </c>
      <c r="C349" t="s">
        <v>99</v>
      </c>
      <c r="D349" t="s">
        <v>23</v>
      </c>
      <c r="E349" t="s">
        <v>134</v>
      </c>
      <c r="F349" t="s">
        <v>79</v>
      </c>
      <c r="G349">
        <v>211883.3</v>
      </c>
      <c r="H349">
        <v>146798.89000000001</v>
      </c>
      <c r="I349" t="s">
        <v>32</v>
      </c>
      <c r="J349" t="s">
        <v>41</v>
      </c>
      <c r="K349">
        <v>65084.409999999974</v>
      </c>
      <c r="L349">
        <v>0.30717102291686027</v>
      </c>
    </row>
    <row r="350" spans="1:12" x14ac:dyDescent="0.35">
      <c r="A350" t="s">
        <v>1310</v>
      </c>
      <c r="B350" s="1">
        <v>46025</v>
      </c>
      <c r="C350" t="s">
        <v>52</v>
      </c>
      <c r="D350" t="s">
        <v>53</v>
      </c>
      <c r="E350" t="s">
        <v>24</v>
      </c>
      <c r="F350" t="s">
        <v>15</v>
      </c>
      <c r="G350">
        <v>489872.48</v>
      </c>
      <c r="H350">
        <v>385759.08</v>
      </c>
      <c r="I350" t="s">
        <v>18</v>
      </c>
      <c r="J350" t="s">
        <v>19</v>
      </c>
      <c r="K350">
        <v>104113.39999999997</v>
      </c>
      <c r="L350">
        <v>0.21253163680474554</v>
      </c>
    </row>
    <row r="351" spans="1:12" x14ac:dyDescent="0.35">
      <c r="A351" t="s">
        <v>1314</v>
      </c>
      <c r="B351" s="1">
        <v>46136</v>
      </c>
      <c r="C351" t="s">
        <v>12</v>
      </c>
      <c r="D351" t="s">
        <v>23</v>
      </c>
      <c r="E351" t="s">
        <v>134</v>
      </c>
      <c r="F351" t="s">
        <v>38</v>
      </c>
      <c r="G351">
        <v>472404.68</v>
      </c>
      <c r="H351">
        <v>299090.78999999998</v>
      </c>
      <c r="I351" t="s">
        <v>32</v>
      </c>
      <c r="J351" t="s">
        <v>19</v>
      </c>
      <c r="K351">
        <v>173313.89</v>
      </c>
      <c r="L351">
        <v>0.36687589547165372</v>
      </c>
    </row>
    <row r="352" spans="1:12" x14ac:dyDescent="0.35">
      <c r="A352" t="s">
        <v>1317</v>
      </c>
      <c r="B352" s="1">
        <v>46027</v>
      </c>
      <c r="C352" t="s">
        <v>67</v>
      </c>
      <c r="D352" t="s">
        <v>53</v>
      </c>
      <c r="E352" t="s">
        <v>37</v>
      </c>
      <c r="F352" t="s">
        <v>74</v>
      </c>
      <c r="G352">
        <v>312111.78000000003</v>
      </c>
      <c r="H352">
        <v>128490.17</v>
      </c>
      <c r="I352" t="s">
        <v>18</v>
      </c>
      <c r="J352" t="s">
        <v>19</v>
      </c>
      <c r="K352">
        <v>183621.61000000004</v>
      </c>
      <c r="L352">
        <v>0.58832002431949226</v>
      </c>
    </row>
    <row r="353" spans="1:12" x14ac:dyDescent="0.35">
      <c r="A353" t="s">
        <v>1320</v>
      </c>
      <c r="B353" s="1">
        <v>46111</v>
      </c>
      <c r="C353" t="s">
        <v>12</v>
      </c>
      <c r="D353" t="s">
        <v>23</v>
      </c>
      <c r="E353" t="s">
        <v>14</v>
      </c>
      <c r="F353" t="s">
        <v>79</v>
      </c>
      <c r="G353">
        <v>291551.53999999998</v>
      </c>
      <c r="H353">
        <v>198429.98</v>
      </c>
      <c r="I353" t="s">
        <v>32</v>
      </c>
      <c r="J353" t="s">
        <v>19</v>
      </c>
      <c r="K353">
        <v>93121.559999999969</v>
      </c>
      <c r="L353">
        <v>0.31939999356546006</v>
      </c>
    </row>
    <row r="354" spans="1:12" x14ac:dyDescent="0.35">
      <c r="A354" t="s">
        <v>1323</v>
      </c>
      <c r="B354" s="1">
        <v>46123</v>
      </c>
      <c r="C354" t="s">
        <v>12</v>
      </c>
      <c r="D354" t="s">
        <v>36</v>
      </c>
      <c r="E354" t="s">
        <v>24</v>
      </c>
      <c r="F354" t="s">
        <v>46</v>
      </c>
      <c r="G354">
        <v>232545.37</v>
      </c>
      <c r="H354">
        <v>217616.64000000001</v>
      </c>
      <c r="I354" t="s">
        <v>49</v>
      </c>
      <c r="J354" t="s">
        <v>19</v>
      </c>
      <c r="K354">
        <v>14928.729999999981</v>
      </c>
      <c r="L354">
        <v>6.4197063996586909E-2</v>
      </c>
    </row>
    <row r="355" spans="1:12" x14ac:dyDescent="0.35">
      <c r="A355" t="s">
        <v>1326</v>
      </c>
      <c r="B355" s="1">
        <v>46176</v>
      </c>
      <c r="C355" t="s">
        <v>99</v>
      </c>
      <c r="D355" t="s">
        <v>36</v>
      </c>
      <c r="E355" t="s">
        <v>109</v>
      </c>
      <c r="F355" t="s">
        <v>25</v>
      </c>
      <c r="G355">
        <v>443069.11</v>
      </c>
      <c r="H355">
        <v>286847.69</v>
      </c>
      <c r="I355" t="s">
        <v>49</v>
      </c>
      <c r="J355" t="s">
        <v>41</v>
      </c>
      <c r="K355">
        <v>156221.41999999998</v>
      </c>
      <c r="L355">
        <v>0.3525892834190133</v>
      </c>
    </row>
    <row r="356" spans="1:12" x14ac:dyDescent="0.35">
      <c r="A356" t="s">
        <v>1329</v>
      </c>
      <c r="B356" s="1">
        <v>46200</v>
      </c>
      <c r="C356" t="s">
        <v>3383</v>
      </c>
      <c r="D356" t="s">
        <v>23</v>
      </c>
      <c r="E356" t="s">
        <v>24</v>
      </c>
      <c r="F356" t="s">
        <v>74</v>
      </c>
      <c r="G356">
        <v>267392.36</v>
      </c>
      <c r="H356">
        <v>238648.9</v>
      </c>
      <c r="I356" t="s">
        <v>18</v>
      </c>
      <c r="J356" t="s">
        <v>41</v>
      </c>
      <c r="K356">
        <v>28743.459999999992</v>
      </c>
      <c r="L356">
        <v>0.10749544227815631</v>
      </c>
    </row>
    <row r="357" spans="1:12" x14ac:dyDescent="0.35">
      <c r="A357" t="s">
        <v>1332</v>
      </c>
      <c r="B357" s="1">
        <v>46047</v>
      </c>
      <c r="C357" t="s">
        <v>12</v>
      </c>
      <c r="D357" t="s">
        <v>36</v>
      </c>
      <c r="E357" t="s">
        <v>45</v>
      </c>
      <c r="F357" t="s">
        <v>15</v>
      </c>
      <c r="G357">
        <v>229015.26</v>
      </c>
      <c r="H357">
        <v>107320.36</v>
      </c>
      <c r="I357" t="s">
        <v>18</v>
      </c>
      <c r="J357" t="s">
        <v>19</v>
      </c>
      <c r="K357">
        <v>121694.90000000001</v>
      </c>
      <c r="L357">
        <v>0.53138336720443868</v>
      </c>
    </row>
    <row r="358" spans="1:12" x14ac:dyDescent="0.35">
      <c r="A358" t="s">
        <v>1335</v>
      </c>
      <c r="B358" s="1">
        <v>46136</v>
      </c>
      <c r="C358" t="s">
        <v>52</v>
      </c>
      <c r="D358" t="s">
        <v>23</v>
      </c>
      <c r="E358" t="s">
        <v>45</v>
      </c>
      <c r="F358" t="s">
        <v>46</v>
      </c>
      <c r="G358">
        <v>118796.58</v>
      </c>
      <c r="H358">
        <v>106752.64</v>
      </c>
      <c r="I358" t="s">
        <v>18</v>
      </c>
      <c r="J358" t="s">
        <v>41</v>
      </c>
      <c r="K358">
        <v>12043.940000000002</v>
      </c>
      <c r="L358">
        <v>0.10138288492816883</v>
      </c>
    </row>
    <row r="359" spans="1:12" x14ac:dyDescent="0.35">
      <c r="A359" t="s">
        <v>1338</v>
      </c>
      <c r="B359" s="1">
        <v>46148</v>
      </c>
      <c r="C359" t="s">
        <v>52</v>
      </c>
      <c r="D359" t="s">
        <v>36</v>
      </c>
      <c r="E359" t="s">
        <v>134</v>
      </c>
      <c r="F359" t="s">
        <v>46</v>
      </c>
      <c r="G359">
        <v>180240.01</v>
      </c>
      <c r="H359">
        <v>120346.22</v>
      </c>
      <c r="I359" t="s">
        <v>49</v>
      </c>
      <c r="J359" t="s">
        <v>19</v>
      </c>
      <c r="K359">
        <v>59893.790000000008</v>
      </c>
      <c r="L359">
        <v>0.3323001923934647</v>
      </c>
    </row>
    <row r="360" spans="1:12" x14ac:dyDescent="0.35">
      <c r="A360" t="s">
        <v>1341</v>
      </c>
      <c r="B360" s="1">
        <v>46134</v>
      </c>
      <c r="C360" t="s">
        <v>12</v>
      </c>
      <c r="D360" t="s">
        <v>36</v>
      </c>
      <c r="E360" t="s">
        <v>37</v>
      </c>
      <c r="F360" t="s">
        <v>46</v>
      </c>
      <c r="G360">
        <v>428097.5</v>
      </c>
      <c r="H360">
        <v>389612.4</v>
      </c>
      <c r="I360" t="s">
        <v>18</v>
      </c>
      <c r="J360" t="s">
        <v>19</v>
      </c>
      <c r="K360">
        <v>38485.099999999977</v>
      </c>
      <c r="L360">
        <v>8.9897978848276328E-2</v>
      </c>
    </row>
    <row r="361" spans="1:12" x14ac:dyDescent="0.35">
      <c r="A361" t="s">
        <v>1344</v>
      </c>
      <c r="B361" s="1">
        <v>46082</v>
      </c>
      <c r="C361" t="s">
        <v>3383</v>
      </c>
      <c r="D361" t="s">
        <v>36</v>
      </c>
      <c r="E361" t="s">
        <v>37</v>
      </c>
      <c r="F361" t="s">
        <v>46</v>
      </c>
      <c r="G361">
        <v>116524.74</v>
      </c>
      <c r="H361">
        <v>83746.539999999994</v>
      </c>
      <c r="I361" t="s">
        <v>32</v>
      </c>
      <c r="J361" t="s">
        <v>19</v>
      </c>
      <c r="K361">
        <v>32778.200000000012</v>
      </c>
      <c r="L361">
        <v>0.28129820328283944</v>
      </c>
    </row>
    <row r="362" spans="1:12" x14ac:dyDescent="0.35">
      <c r="A362" t="s">
        <v>1347</v>
      </c>
      <c r="B362" s="1">
        <v>46185</v>
      </c>
      <c r="C362" t="s">
        <v>99</v>
      </c>
      <c r="D362" t="s">
        <v>23</v>
      </c>
      <c r="E362" t="s">
        <v>109</v>
      </c>
      <c r="F362" t="s">
        <v>38</v>
      </c>
      <c r="G362">
        <v>453715.95</v>
      </c>
      <c r="H362">
        <v>277161.13</v>
      </c>
      <c r="I362" t="s">
        <v>32</v>
      </c>
      <c r="J362" t="s">
        <v>19</v>
      </c>
      <c r="K362">
        <v>176554.82</v>
      </c>
      <c r="L362">
        <v>0.3891307325651655</v>
      </c>
    </row>
    <row r="363" spans="1:12" x14ac:dyDescent="0.35">
      <c r="A363" t="s">
        <v>1350</v>
      </c>
      <c r="B363" s="1">
        <v>46092</v>
      </c>
      <c r="C363" t="s">
        <v>12</v>
      </c>
      <c r="D363" t="s">
        <v>53</v>
      </c>
      <c r="E363" t="s">
        <v>24</v>
      </c>
      <c r="F363" t="s">
        <v>25</v>
      </c>
      <c r="G363">
        <v>137931.96</v>
      </c>
      <c r="H363">
        <v>90120.76</v>
      </c>
      <c r="I363" t="s">
        <v>49</v>
      </c>
      <c r="J363" t="s">
        <v>41</v>
      </c>
      <c r="K363">
        <v>47811.199999999997</v>
      </c>
      <c r="L363">
        <v>0.34662887412025467</v>
      </c>
    </row>
    <row r="364" spans="1:12" x14ac:dyDescent="0.35">
      <c r="A364" t="s">
        <v>1353</v>
      </c>
      <c r="B364" s="1">
        <v>46202</v>
      </c>
      <c r="C364" t="s">
        <v>3383</v>
      </c>
      <c r="D364" t="s">
        <v>23</v>
      </c>
      <c r="E364" t="s">
        <v>109</v>
      </c>
      <c r="F364" t="s">
        <v>25</v>
      </c>
      <c r="G364">
        <v>362273.81</v>
      </c>
      <c r="H364">
        <v>164495.07</v>
      </c>
      <c r="I364" t="s">
        <v>18</v>
      </c>
      <c r="J364" t="s">
        <v>19</v>
      </c>
      <c r="K364">
        <v>197778.74</v>
      </c>
      <c r="L364">
        <v>0.54593717387409257</v>
      </c>
    </row>
    <row r="365" spans="1:12" x14ac:dyDescent="0.35">
      <c r="A365" t="s">
        <v>1356</v>
      </c>
      <c r="B365" s="1">
        <v>46159</v>
      </c>
      <c r="C365" t="s">
        <v>12</v>
      </c>
      <c r="D365" t="s">
        <v>36</v>
      </c>
      <c r="E365" t="s">
        <v>45</v>
      </c>
      <c r="F365" t="s">
        <v>25</v>
      </c>
      <c r="G365">
        <v>317939.90999999997</v>
      </c>
      <c r="H365">
        <v>294813.73</v>
      </c>
      <c r="I365" t="s">
        <v>49</v>
      </c>
      <c r="J365" t="s">
        <v>41</v>
      </c>
      <c r="K365">
        <v>23126.179999999993</v>
      </c>
      <c r="L365">
        <v>7.2737581136007728E-2</v>
      </c>
    </row>
    <row r="366" spans="1:12" x14ac:dyDescent="0.35">
      <c r="A366" t="s">
        <v>1359</v>
      </c>
      <c r="B366" s="1">
        <v>46113</v>
      </c>
      <c r="C366" t="s">
        <v>12</v>
      </c>
      <c r="D366" t="s">
        <v>53</v>
      </c>
      <c r="E366" t="s">
        <v>14</v>
      </c>
      <c r="F366" t="s">
        <v>38</v>
      </c>
      <c r="G366">
        <v>290186.92</v>
      </c>
      <c r="H366">
        <v>188088.79</v>
      </c>
      <c r="I366" t="s">
        <v>32</v>
      </c>
      <c r="J366" t="s">
        <v>19</v>
      </c>
      <c r="K366">
        <v>102098.12999999998</v>
      </c>
      <c r="L366">
        <v>0.35183574090796366</v>
      </c>
    </row>
    <row r="367" spans="1:12" x14ac:dyDescent="0.35">
      <c r="A367" t="s">
        <v>1362</v>
      </c>
      <c r="B367" s="1">
        <v>46184</v>
      </c>
      <c r="C367" t="s">
        <v>12</v>
      </c>
      <c r="D367" t="s">
        <v>23</v>
      </c>
      <c r="E367" t="s">
        <v>134</v>
      </c>
      <c r="F367" t="s">
        <v>79</v>
      </c>
      <c r="G367">
        <v>111578.86</v>
      </c>
      <c r="H367">
        <v>58190.11</v>
      </c>
      <c r="I367" t="s">
        <v>32</v>
      </c>
      <c r="J367" t="s">
        <v>19</v>
      </c>
      <c r="K367">
        <v>53388.75</v>
      </c>
      <c r="L367">
        <v>0.47848445485103541</v>
      </c>
    </row>
    <row r="368" spans="1:12" x14ac:dyDescent="0.35">
      <c r="A368" t="s">
        <v>1366</v>
      </c>
      <c r="B368" s="1">
        <v>46081</v>
      </c>
      <c r="C368" t="s">
        <v>12</v>
      </c>
      <c r="D368" t="s">
        <v>36</v>
      </c>
      <c r="E368" t="s">
        <v>134</v>
      </c>
      <c r="F368" t="s">
        <v>79</v>
      </c>
      <c r="G368">
        <v>363577.29</v>
      </c>
      <c r="H368">
        <v>284041.08</v>
      </c>
      <c r="I368" t="s">
        <v>32</v>
      </c>
      <c r="J368" t="s">
        <v>41</v>
      </c>
      <c r="K368">
        <v>79536.209999999963</v>
      </c>
      <c r="L368">
        <v>0.21876011562768391</v>
      </c>
    </row>
    <row r="369" spans="1:12" x14ac:dyDescent="0.35">
      <c r="A369" t="s">
        <v>1369</v>
      </c>
      <c r="B369" s="1">
        <v>46080</v>
      </c>
      <c r="C369" t="s">
        <v>67</v>
      </c>
      <c r="D369" t="s">
        <v>36</v>
      </c>
      <c r="E369" t="s">
        <v>134</v>
      </c>
      <c r="F369" t="s">
        <v>15</v>
      </c>
      <c r="G369">
        <v>109898.68</v>
      </c>
      <c r="H369">
        <v>59680.69</v>
      </c>
      <c r="I369" t="s">
        <v>32</v>
      </c>
      <c r="J369" t="s">
        <v>19</v>
      </c>
      <c r="K369">
        <v>50217.989999999991</v>
      </c>
      <c r="L369">
        <v>0.45694807253371916</v>
      </c>
    </row>
    <row r="370" spans="1:12" x14ac:dyDescent="0.35">
      <c r="A370" t="s">
        <v>1372</v>
      </c>
      <c r="B370" s="1">
        <v>46156</v>
      </c>
      <c r="C370" t="s">
        <v>99</v>
      </c>
      <c r="D370" t="s">
        <v>23</v>
      </c>
      <c r="E370" t="s">
        <v>134</v>
      </c>
      <c r="F370" t="s">
        <v>25</v>
      </c>
      <c r="G370">
        <v>478032.77</v>
      </c>
      <c r="H370">
        <v>427793.95</v>
      </c>
      <c r="I370" t="s">
        <v>18</v>
      </c>
      <c r="J370" t="s">
        <v>41</v>
      </c>
      <c r="K370">
        <v>50238.820000000007</v>
      </c>
      <c r="L370">
        <v>0.10509492895225574</v>
      </c>
    </row>
    <row r="371" spans="1:12" x14ac:dyDescent="0.35">
      <c r="A371" t="s">
        <v>1376</v>
      </c>
      <c r="B371" s="1">
        <v>46126</v>
      </c>
      <c r="C371" t="s">
        <v>67</v>
      </c>
      <c r="D371" t="s">
        <v>53</v>
      </c>
      <c r="E371" t="s">
        <v>14</v>
      </c>
      <c r="F371" t="s">
        <v>15</v>
      </c>
      <c r="G371">
        <v>345841.73</v>
      </c>
      <c r="H371">
        <v>202508.19</v>
      </c>
      <c r="I371" t="s">
        <v>18</v>
      </c>
      <c r="J371" t="s">
        <v>41</v>
      </c>
      <c r="K371">
        <v>143333.53999999998</v>
      </c>
      <c r="L371">
        <v>0.41444836630906279</v>
      </c>
    </row>
    <row r="372" spans="1:12" x14ac:dyDescent="0.35">
      <c r="A372" t="s">
        <v>1379</v>
      </c>
      <c r="B372" s="1">
        <v>46114</v>
      </c>
      <c r="C372" t="s">
        <v>99</v>
      </c>
      <c r="D372" t="s">
        <v>53</v>
      </c>
      <c r="E372" t="s">
        <v>45</v>
      </c>
      <c r="F372" t="s">
        <v>25</v>
      </c>
      <c r="G372">
        <v>294181.5</v>
      </c>
      <c r="H372">
        <v>262165.15999999997</v>
      </c>
      <c r="I372" t="s">
        <v>49</v>
      </c>
      <c r="J372" t="s">
        <v>19</v>
      </c>
      <c r="K372">
        <v>32016.340000000026</v>
      </c>
      <c r="L372">
        <v>0.10883192858830357</v>
      </c>
    </row>
    <row r="373" spans="1:12" x14ac:dyDescent="0.35">
      <c r="A373" t="s">
        <v>1382</v>
      </c>
      <c r="B373" s="1">
        <v>46203</v>
      </c>
      <c r="C373" t="s">
        <v>99</v>
      </c>
      <c r="D373" t="s">
        <v>23</v>
      </c>
      <c r="E373" t="s">
        <v>134</v>
      </c>
      <c r="F373" t="s">
        <v>46</v>
      </c>
      <c r="G373">
        <v>352750</v>
      </c>
      <c r="H373">
        <v>332193.28000000003</v>
      </c>
      <c r="I373" t="s">
        <v>18</v>
      </c>
      <c r="J373" t="s">
        <v>41</v>
      </c>
      <c r="K373">
        <v>20556.719999999972</v>
      </c>
      <c r="L373">
        <v>5.8275605953224584E-2</v>
      </c>
    </row>
    <row r="374" spans="1:12" x14ac:dyDescent="0.35">
      <c r="A374" t="s">
        <v>1385</v>
      </c>
      <c r="B374" s="1">
        <v>46024</v>
      </c>
      <c r="C374" t="s">
        <v>12</v>
      </c>
      <c r="D374" t="s">
        <v>23</v>
      </c>
      <c r="E374" t="s">
        <v>14</v>
      </c>
      <c r="F374" t="s">
        <v>38</v>
      </c>
      <c r="G374">
        <v>133921.70000000001</v>
      </c>
      <c r="H374">
        <v>55224.45</v>
      </c>
      <c r="I374" t="s">
        <v>18</v>
      </c>
      <c r="J374" t="s">
        <v>41</v>
      </c>
      <c r="K374">
        <v>78697.250000000015</v>
      </c>
      <c r="L374">
        <v>0.58763628299222614</v>
      </c>
    </row>
    <row r="375" spans="1:12" x14ac:dyDescent="0.35">
      <c r="A375" t="s">
        <v>1389</v>
      </c>
      <c r="B375" s="1">
        <v>46181</v>
      </c>
      <c r="C375" t="s">
        <v>12</v>
      </c>
      <c r="D375" t="s">
        <v>23</v>
      </c>
      <c r="E375" t="s">
        <v>14</v>
      </c>
      <c r="F375" t="s">
        <v>38</v>
      </c>
      <c r="G375">
        <v>353273.42</v>
      </c>
      <c r="H375">
        <v>221715.04</v>
      </c>
      <c r="I375" t="s">
        <v>49</v>
      </c>
      <c r="J375" t="s">
        <v>41</v>
      </c>
      <c r="K375">
        <v>131558.37999999998</v>
      </c>
      <c r="L375">
        <v>0.37239818382033946</v>
      </c>
    </row>
    <row r="376" spans="1:12" x14ac:dyDescent="0.35">
      <c r="A376" t="s">
        <v>1393</v>
      </c>
      <c r="B376" s="1">
        <v>46082</v>
      </c>
      <c r="C376" t="s">
        <v>52</v>
      </c>
      <c r="D376" t="s">
        <v>23</v>
      </c>
      <c r="E376" t="s">
        <v>134</v>
      </c>
      <c r="F376" t="s">
        <v>38</v>
      </c>
      <c r="G376">
        <v>447456.46</v>
      </c>
      <c r="H376">
        <v>324280.37</v>
      </c>
      <c r="I376" t="s">
        <v>32</v>
      </c>
      <c r="J376" t="s">
        <v>41</v>
      </c>
      <c r="K376">
        <v>123176.09000000003</v>
      </c>
      <c r="L376">
        <v>0.2752806161296677</v>
      </c>
    </row>
    <row r="377" spans="1:12" x14ac:dyDescent="0.35">
      <c r="A377" t="s">
        <v>1397</v>
      </c>
      <c r="B377" s="1">
        <v>46061</v>
      </c>
      <c r="C377" t="s">
        <v>3383</v>
      </c>
      <c r="D377" t="s">
        <v>36</v>
      </c>
      <c r="E377" t="s">
        <v>45</v>
      </c>
      <c r="F377" t="s">
        <v>46</v>
      </c>
      <c r="G377">
        <v>444826.19</v>
      </c>
      <c r="H377">
        <v>204733.78</v>
      </c>
      <c r="I377" t="s">
        <v>49</v>
      </c>
      <c r="J377" t="s">
        <v>41</v>
      </c>
      <c r="K377">
        <v>240092.41</v>
      </c>
      <c r="L377">
        <v>0.53974432125950134</v>
      </c>
    </row>
    <row r="378" spans="1:12" x14ac:dyDescent="0.35">
      <c r="A378" t="s">
        <v>1401</v>
      </c>
      <c r="B378" s="1">
        <v>46090</v>
      </c>
      <c r="C378" t="s">
        <v>52</v>
      </c>
      <c r="D378" t="s">
        <v>23</v>
      </c>
      <c r="E378" t="s">
        <v>134</v>
      </c>
      <c r="F378" t="s">
        <v>79</v>
      </c>
      <c r="G378">
        <v>267043.39</v>
      </c>
      <c r="H378">
        <v>109371.72</v>
      </c>
      <c r="I378" t="s">
        <v>32</v>
      </c>
      <c r="J378" t="s">
        <v>19</v>
      </c>
      <c r="K378">
        <v>157671.67000000001</v>
      </c>
      <c r="L378">
        <v>0.59043464809220703</v>
      </c>
    </row>
    <row r="379" spans="1:12" x14ac:dyDescent="0.35">
      <c r="A379" t="s">
        <v>1405</v>
      </c>
      <c r="B379" s="1">
        <v>46112</v>
      </c>
      <c r="C379" t="s">
        <v>12</v>
      </c>
      <c r="D379" t="s">
        <v>53</v>
      </c>
      <c r="E379" t="s">
        <v>37</v>
      </c>
      <c r="F379" t="s">
        <v>79</v>
      </c>
      <c r="G379">
        <v>411687.21</v>
      </c>
      <c r="H379">
        <v>231096.17</v>
      </c>
      <c r="I379" t="s">
        <v>32</v>
      </c>
      <c r="J379" t="s">
        <v>41</v>
      </c>
      <c r="K379">
        <v>180591.04</v>
      </c>
      <c r="L379">
        <v>0.43866079784212875</v>
      </c>
    </row>
    <row r="380" spans="1:12" x14ac:dyDescent="0.35">
      <c r="A380" t="s">
        <v>1409</v>
      </c>
      <c r="B380" s="1">
        <v>46066</v>
      </c>
      <c r="C380" t="s">
        <v>99</v>
      </c>
      <c r="D380" t="s">
        <v>23</v>
      </c>
      <c r="E380" t="s">
        <v>109</v>
      </c>
      <c r="F380" t="s">
        <v>79</v>
      </c>
      <c r="G380">
        <v>317114.39</v>
      </c>
      <c r="H380">
        <v>257183.16</v>
      </c>
      <c r="I380" t="s">
        <v>18</v>
      </c>
      <c r="J380" t="s">
        <v>19</v>
      </c>
      <c r="K380">
        <v>59931.23000000001</v>
      </c>
      <c r="L380">
        <v>0.1889893107657461</v>
      </c>
    </row>
    <row r="381" spans="1:12" x14ac:dyDescent="0.35">
      <c r="A381" t="s">
        <v>1412</v>
      </c>
      <c r="B381" s="1">
        <v>46097</v>
      </c>
      <c r="C381" t="s">
        <v>52</v>
      </c>
      <c r="D381" t="s">
        <v>36</v>
      </c>
      <c r="E381" t="s">
        <v>134</v>
      </c>
      <c r="F381" t="s">
        <v>38</v>
      </c>
      <c r="G381">
        <v>282796.83</v>
      </c>
      <c r="H381">
        <v>234102.53</v>
      </c>
      <c r="I381" t="s">
        <v>18</v>
      </c>
      <c r="J381" t="s">
        <v>41</v>
      </c>
      <c r="K381">
        <v>48694.300000000017</v>
      </c>
      <c r="L381">
        <v>0.17218828089409635</v>
      </c>
    </row>
    <row r="382" spans="1:12" x14ac:dyDescent="0.35">
      <c r="A382" t="s">
        <v>1416</v>
      </c>
      <c r="B382" s="1">
        <v>46135</v>
      </c>
      <c r="C382" t="s">
        <v>12</v>
      </c>
      <c r="D382" t="s">
        <v>36</v>
      </c>
      <c r="E382" t="s">
        <v>45</v>
      </c>
      <c r="F382" t="s">
        <v>79</v>
      </c>
      <c r="G382">
        <v>272798.42</v>
      </c>
      <c r="H382">
        <v>143282.47</v>
      </c>
      <c r="I382" t="s">
        <v>18</v>
      </c>
      <c r="J382" t="s">
        <v>41</v>
      </c>
      <c r="K382">
        <v>129515.94999999998</v>
      </c>
      <c r="L382">
        <v>0.47476796236576441</v>
      </c>
    </row>
    <row r="383" spans="1:12" x14ac:dyDescent="0.35">
      <c r="A383" t="s">
        <v>1419</v>
      </c>
      <c r="B383" s="1">
        <v>46155</v>
      </c>
      <c r="C383" t="s">
        <v>12</v>
      </c>
      <c r="D383" t="s">
        <v>23</v>
      </c>
      <c r="E383" t="s">
        <v>134</v>
      </c>
      <c r="F383" t="s">
        <v>79</v>
      </c>
      <c r="G383">
        <v>100270.49</v>
      </c>
      <c r="H383">
        <v>43772.18</v>
      </c>
      <c r="I383" t="s">
        <v>18</v>
      </c>
      <c r="J383" t="s">
        <v>41</v>
      </c>
      <c r="K383">
        <v>56498.310000000005</v>
      </c>
      <c r="L383">
        <v>0.56345899975157199</v>
      </c>
    </row>
    <row r="384" spans="1:12" x14ac:dyDescent="0.35">
      <c r="A384" t="s">
        <v>1422</v>
      </c>
      <c r="B384" s="1">
        <v>46134</v>
      </c>
      <c r="C384" t="s">
        <v>67</v>
      </c>
      <c r="D384" t="s">
        <v>53</v>
      </c>
      <c r="E384" t="s">
        <v>45</v>
      </c>
      <c r="F384" t="s">
        <v>79</v>
      </c>
      <c r="G384">
        <v>93983.52</v>
      </c>
      <c r="H384">
        <v>62740.62</v>
      </c>
      <c r="I384" t="s">
        <v>49</v>
      </c>
      <c r="J384" t="s">
        <v>19</v>
      </c>
      <c r="K384">
        <v>31242.9</v>
      </c>
      <c r="L384">
        <v>0.33242955786291045</v>
      </c>
    </row>
    <row r="385" spans="1:12" x14ac:dyDescent="0.35">
      <c r="A385" t="s">
        <v>1425</v>
      </c>
      <c r="B385" s="1">
        <v>46183</v>
      </c>
      <c r="C385" t="s">
        <v>12</v>
      </c>
      <c r="D385" t="s">
        <v>23</v>
      </c>
      <c r="E385" t="s">
        <v>14</v>
      </c>
      <c r="F385" t="s">
        <v>74</v>
      </c>
      <c r="G385">
        <v>275036.24</v>
      </c>
      <c r="H385">
        <v>188930.84</v>
      </c>
      <c r="I385" t="s">
        <v>18</v>
      </c>
      <c r="J385" t="s">
        <v>19</v>
      </c>
      <c r="K385">
        <v>86105.4</v>
      </c>
      <c r="L385">
        <v>0.31306928861447492</v>
      </c>
    </row>
    <row r="386" spans="1:12" x14ac:dyDescent="0.35">
      <c r="A386" t="s">
        <v>1428</v>
      </c>
      <c r="B386" s="1">
        <v>46141</v>
      </c>
      <c r="C386" t="s">
        <v>99</v>
      </c>
      <c r="D386" t="s">
        <v>36</v>
      </c>
      <c r="E386" t="s">
        <v>134</v>
      </c>
      <c r="F386" t="s">
        <v>15</v>
      </c>
      <c r="G386">
        <v>359454.61</v>
      </c>
      <c r="H386">
        <v>197262.75</v>
      </c>
      <c r="I386" t="s">
        <v>32</v>
      </c>
      <c r="J386" t="s">
        <v>41</v>
      </c>
      <c r="K386">
        <v>162191.85999999999</v>
      </c>
      <c r="L386">
        <v>0.45121652494594516</v>
      </c>
    </row>
    <row r="387" spans="1:12" x14ac:dyDescent="0.35">
      <c r="A387" t="s">
        <v>1432</v>
      </c>
      <c r="B387" s="1">
        <v>46200</v>
      </c>
      <c r="C387" t="s">
        <v>67</v>
      </c>
      <c r="D387" t="s">
        <v>53</v>
      </c>
      <c r="E387" t="s">
        <v>24</v>
      </c>
      <c r="F387" t="s">
        <v>46</v>
      </c>
      <c r="G387">
        <v>112921.97</v>
      </c>
      <c r="H387">
        <v>50362.81</v>
      </c>
      <c r="I387" t="s">
        <v>49</v>
      </c>
      <c r="J387" t="s">
        <v>19</v>
      </c>
      <c r="K387">
        <v>62559.16</v>
      </c>
      <c r="L387">
        <v>0.55400344149150071</v>
      </c>
    </row>
    <row r="388" spans="1:12" x14ac:dyDescent="0.35">
      <c r="A388" t="s">
        <v>1435</v>
      </c>
      <c r="B388" s="1">
        <v>46102</v>
      </c>
      <c r="C388" t="s">
        <v>12</v>
      </c>
      <c r="D388" t="s">
        <v>36</v>
      </c>
      <c r="E388" t="s">
        <v>14</v>
      </c>
      <c r="F388" t="s">
        <v>38</v>
      </c>
      <c r="G388">
        <v>125380.88</v>
      </c>
      <c r="H388">
        <v>51080.75</v>
      </c>
      <c r="I388" t="s">
        <v>49</v>
      </c>
      <c r="J388" t="s">
        <v>41</v>
      </c>
      <c r="K388">
        <v>74300.13</v>
      </c>
      <c r="L388">
        <v>0.59259537817887387</v>
      </c>
    </row>
    <row r="389" spans="1:12" x14ac:dyDescent="0.35">
      <c r="A389" t="s">
        <v>1438</v>
      </c>
      <c r="B389" s="1">
        <v>46182</v>
      </c>
      <c r="C389" t="s">
        <v>3383</v>
      </c>
      <c r="D389" t="s">
        <v>53</v>
      </c>
      <c r="E389" t="s">
        <v>45</v>
      </c>
      <c r="F389" t="s">
        <v>38</v>
      </c>
      <c r="G389">
        <v>485086.99</v>
      </c>
      <c r="H389">
        <v>268428.90999999997</v>
      </c>
      <c r="I389" t="s">
        <v>18</v>
      </c>
      <c r="J389" t="s">
        <v>41</v>
      </c>
      <c r="K389">
        <v>216658.08000000002</v>
      </c>
      <c r="L389">
        <v>0.44663758143668214</v>
      </c>
    </row>
    <row r="390" spans="1:12" x14ac:dyDescent="0.35">
      <c r="A390" t="s">
        <v>1441</v>
      </c>
      <c r="B390" s="1">
        <v>46061</v>
      </c>
      <c r="C390" t="s">
        <v>12</v>
      </c>
      <c r="D390" t="s">
        <v>53</v>
      </c>
      <c r="E390" t="s">
        <v>24</v>
      </c>
      <c r="F390" t="s">
        <v>74</v>
      </c>
      <c r="G390">
        <v>376880.5</v>
      </c>
      <c r="H390">
        <v>215644.38</v>
      </c>
      <c r="I390" t="s">
        <v>49</v>
      </c>
      <c r="J390" t="s">
        <v>41</v>
      </c>
      <c r="K390">
        <v>161236.12</v>
      </c>
      <c r="L390">
        <v>0.42781762388873923</v>
      </c>
    </row>
    <row r="391" spans="1:12" x14ac:dyDescent="0.35">
      <c r="A391" t="s">
        <v>1444</v>
      </c>
      <c r="B391" s="1">
        <v>46025</v>
      </c>
      <c r="C391" t="s">
        <v>12</v>
      </c>
      <c r="D391" t="s">
        <v>53</v>
      </c>
      <c r="E391" t="s">
        <v>14</v>
      </c>
      <c r="F391" t="s">
        <v>25</v>
      </c>
      <c r="G391">
        <v>383456.36</v>
      </c>
      <c r="H391">
        <v>199515.69</v>
      </c>
      <c r="I391" t="s">
        <v>32</v>
      </c>
      <c r="J391" t="s">
        <v>19</v>
      </c>
      <c r="K391">
        <v>183940.66999999998</v>
      </c>
      <c r="L391">
        <v>0.47969127438647774</v>
      </c>
    </row>
    <row r="392" spans="1:12" x14ac:dyDescent="0.35">
      <c r="A392" t="s">
        <v>1447</v>
      </c>
      <c r="B392" s="1">
        <v>46150</v>
      </c>
      <c r="C392" t="s">
        <v>12</v>
      </c>
      <c r="D392" t="s">
        <v>53</v>
      </c>
      <c r="E392" t="s">
        <v>109</v>
      </c>
      <c r="F392" t="s">
        <v>79</v>
      </c>
      <c r="G392">
        <v>278960.96999999997</v>
      </c>
      <c r="H392">
        <v>171112.37</v>
      </c>
      <c r="I392" t="s">
        <v>49</v>
      </c>
      <c r="J392" t="s">
        <v>19</v>
      </c>
      <c r="K392">
        <v>107848.59999999998</v>
      </c>
      <c r="L392">
        <v>0.38660820544178631</v>
      </c>
    </row>
    <row r="393" spans="1:12" x14ac:dyDescent="0.35">
      <c r="A393" t="s">
        <v>1451</v>
      </c>
      <c r="B393" s="1">
        <v>46171</v>
      </c>
      <c r="C393" t="s">
        <v>52</v>
      </c>
      <c r="D393" t="s">
        <v>36</v>
      </c>
      <c r="E393" t="s">
        <v>37</v>
      </c>
      <c r="F393" t="s">
        <v>74</v>
      </c>
      <c r="G393">
        <v>136447.87</v>
      </c>
      <c r="H393">
        <v>78945.77</v>
      </c>
      <c r="I393" t="s">
        <v>18</v>
      </c>
      <c r="J393" t="s">
        <v>19</v>
      </c>
      <c r="K393">
        <v>57502.099999999991</v>
      </c>
      <c r="L393">
        <v>0.42142174883345557</v>
      </c>
    </row>
    <row r="394" spans="1:12" x14ac:dyDescent="0.35">
      <c r="A394" t="s">
        <v>1454</v>
      </c>
      <c r="B394" s="1">
        <v>46112</v>
      </c>
      <c r="C394" t="s">
        <v>67</v>
      </c>
      <c r="D394" t="s">
        <v>53</v>
      </c>
      <c r="E394" t="s">
        <v>134</v>
      </c>
      <c r="F394" t="s">
        <v>25</v>
      </c>
      <c r="G394">
        <v>72204.41</v>
      </c>
      <c r="H394">
        <v>53121.99</v>
      </c>
      <c r="I394" t="s">
        <v>49</v>
      </c>
      <c r="J394" t="s">
        <v>41</v>
      </c>
      <c r="K394">
        <v>19082.420000000006</v>
      </c>
      <c r="L394">
        <v>0.26428330347135315</v>
      </c>
    </row>
    <row r="395" spans="1:12" x14ac:dyDescent="0.35">
      <c r="A395" t="s">
        <v>1457</v>
      </c>
      <c r="B395" s="1">
        <v>46172</v>
      </c>
      <c r="C395" t="s">
        <v>12</v>
      </c>
      <c r="D395" t="s">
        <v>23</v>
      </c>
      <c r="E395" t="s">
        <v>24</v>
      </c>
      <c r="F395" t="s">
        <v>79</v>
      </c>
      <c r="G395">
        <v>143947.25</v>
      </c>
      <c r="H395">
        <v>89780.15</v>
      </c>
      <c r="I395" t="s">
        <v>49</v>
      </c>
      <c r="J395" t="s">
        <v>19</v>
      </c>
      <c r="K395">
        <v>54167.100000000006</v>
      </c>
      <c r="L395">
        <v>0.37629826203696148</v>
      </c>
    </row>
    <row r="396" spans="1:12" x14ac:dyDescent="0.35">
      <c r="A396" t="s">
        <v>1460</v>
      </c>
      <c r="B396" s="1">
        <v>46199</v>
      </c>
      <c r="C396" t="s">
        <v>12</v>
      </c>
      <c r="D396" t="s">
        <v>36</v>
      </c>
      <c r="E396" t="s">
        <v>134</v>
      </c>
      <c r="F396" t="s">
        <v>79</v>
      </c>
      <c r="G396">
        <v>188798.71</v>
      </c>
      <c r="H396">
        <v>79469.100000000006</v>
      </c>
      <c r="I396" t="s">
        <v>32</v>
      </c>
      <c r="J396" t="s">
        <v>41</v>
      </c>
      <c r="K396">
        <v>109329.60999999999</v>
      </c>
      <c r="L396">
        <v>0.57908028079217277</v>
      </c>
    </row>
    <row r="397" spans="1:12" x14ac:dyDescent="0.35">
      <c r="A397" t="s">
        <v>1463</v>
      </c>
      <c r="B397" s="1">
        <v>46036</v>
      </c>
      <c r="C397" t="s">
        <v>3383</v>
      </c>
      <c r="D397" t="s">
        <v>53</v>
      </c>
      <c r="E397" t="s">
        <v>24</v>
      </c>
      <c r="F397" t="s">
        <v>15</v>
      </c>
      <c r="G397">
        <v>261952.73</v>
      </c>
      <c r="H397">
        <v>152382.31</v>
      </c>
      <c r="I397" t="s">
        <v>18</v>
      </c>
      <c r="J397" t="s">
        <v>19</v>
      </c>
      <c r="K397">
        <v>109570.42000000001</v>
      </c>
      <c r="L397">
        <v>0.41828317651051017</v>
      </c>
    </row>
    <row r="398" spans="1:12" x14ac:dyDescent="0.35">
      <c r="A398" t="s">
        <v>1466</v>
      </c>
      <c r="B398" s="1">
        <v>46103</v>
      </c>
      <c r="C398" t="s">
        <v>52</v>
      </c>
      <c r="D398" t="s">
        <v>36</v>
      </c>
      <c r="E398" t="s">
        <v>37</v>
      </c>
      <c r="F398" t="s">
        <v>15</v>
      </c>
      <c r="G398">
        <v>248203.74</v>
      </c>
      <c r="H398">
        <v>138733.44</v>
      </c>
      <c r="I398" t="s">
        <v>32</v>
      </c>
      <c r="J398" t="s">
        <v>41</v>
      </c>
      <c r="K398">
        <v>109470.29999999999</v>
      </c>
      <c r="L398">
        <v>0.44105016306361861</v>
      </c>
    </row>
    <row r="399" spans="1:12" x14ac:dyDescent="0.35">
      <c r="A399" t="s">
        <v>1470</v>
      </c>
      <c r="B399" s="1">
        <v>46186</v>
      </c>
      <c r="C399" t="s">
        <v>99</v>
      </c>
      <c r="D399" t="s">
        <v>23</v>
      </c>
      <c r="E399" t="s">
        <v>109</v>
      </c>
      <c r="F399" t="s">
        <v>15</v>
      </c>
      <c r="G399">
        <v>316761.90000000002</v>
      </c>
      <c r="H399">
        <v>289956.34999999998</v>
      </c>
      <c r="I399" t="s">
        <v>32</v>
      </c>
      <c r="J399" t="s">
        <v>41</v>
      </c>
      <c r="K399">
        <v>26805.550000000047</v>
      </c>
      <c r="L399">
        <v>8.4623655812141693E-2</v>
      </c>
    </row>
    <row r="400" spans="1:12" x14ac:dyDescent="0.35">
      <c r="A400" t="s">
        <v>1473</v>
      </c>
      <c r="B400" s="1">
        <v>46081</v>
      </c>
      <c r="C400" t="s">
        <v>12</v>
      </c>
      <c r="D400" t="s">
        <v>23</v>
      </c>
      <c r="E400" t="s">
        <v>45</v>
      </c>
      <c r="F400" t="s">
        <v>79</v>
      </c>
      <c r="G400">
        <v>295758.43</v>
      </c>
      <c r="H400">
        <v>225322.8</v>
      </c>
      <c r="I400" t="s">
        <v>49</v>
      </c>
      <c r="J400" t="s">
        <v>41</v>
      </c>
      <c r="K400">
        <v>70435.63</v>
      </c>
      <c r="L400">
        <v>0.23815256931138026</v>
      </c>
    </row>
    <row r="401" spans="1:12" x14ac:dyDescent="0.35">
      <c r="A401" t="s">
        <v>1477</v>
      </c>
      <c r="B401" s="1">
        <v>46058</v>
      </c>
      <c r="C401" t="s">
        <v>12</v>
      </c>
      <c r="D401" t="s">
        <v>36</v>
      </c>
      <c r="E401" t="s">
        <v>109</v>
      </c>
      <c r="F401" t="s">
        <v>74</v>
      </c>
      <c r="G401">
        <v>223092.62</v>
      </c>
      <c r="H401">
        <v>172801.58</v>
      </c>
      <c r="I401" t="s">
        <v>18</v>
      </c>
      <c r="J401" t="s">
        <v>41</v>
      </c>
      <c r="K401">
        <v>50291.040000000008</v>
      </c>
      <c r="L401">
        <v>0.22542673083493309</v>
      </c>
    </row>
    <row r="402" spans="1:12" x14ac:dyDescent="0.35">
      <c r="A402" t="s">
        <v>1480</v>
      </c>
      <c r="B402" s="1">
        <v>46036</v>
      </c>
      <c r="C402" t="s">
        <v>12</v>
      </c>
      <c r="D402" t="s">
        <v>23</v>
      </c>
      <c r="E402" t="s">
        <v>14</v>
      </c>
      <c r="F402" t="s">
        <v>79</v>
      </c>
      <c r="G402">
        <v>63254.5</v>
      </c>
      <c r="H402">
        <v>51046.46</v>
      </c>
      <c r="I402" t="s">
        <v>32</v>
      </c>
      <c r="J402" t="s">
        <v>41</v>
      </c>
      <c r="K402">
        <v>12208.04</v>
      </c>
      <c r="L402">
        <v>0.19299875898157445</v>
      </c>
    </row>
    <row r="403" spans="1:12" x14ac:dyDescent="0.35">
      <c r="A403" t="s">
        <v>1483</v>
      </c>
      <c r="B403" s="1">
        <v>46150</v>
      </c>
      <c r="C403" t="s">
        <v>3383</v>
      </c>
      <c r="D403" t="s">
        <v>36</v>
      </c>
      <c r="E403" t="s">
        <v>109</v>
      </c>
      <c r="F403" t="s">
        <v>46</v>
      </c>
      <c r="G403">
        <v>61001.73</v>
      </c>
      <c r="H403">
        <v>43248.79</v>
      </c>
      <c r="I403" t="s">
        <v>32</v>
      </c>
      <c r="J403" t="s">
        <v>19</v>
      </c>
      <c r="K403">
        <v>17752.940000000002</v>
      </c>
      <c r="L403">
        <v>0.29102354965998506</v>
      </c>
    </row>
    <row r="404" spans="1:12" x14ac:dyDescent="0.35">
      <c r="A404" t="s">
        <v>1486</v>
      </c>
      <c r="B404" s="1">
        <v>46098</v>
      </c>
      <c r="C404" t="s">
        <v>52</v>
      </c>
      <c r="D404" t="s">
        <v>23</v>
      </c>
      <c r="E404" t="s">
        <v>109</v>
      </c>
      <c r="F404" t="s">
        <v>46</v>
      </c>
      <c r="G404">
        <v>329831.75</v>
      </c>
      <c r="H404">
        <v>153950.13</v>
      </c>
      <c r="I404" t="s">
        <v>32</v>
      </c>
      <c r="J404" t="s">
        <v>19</v>
      </c>
      <c r="K404">
        <v>175881.62</v>
      </c>
      <c r="L404">
        <v>0.53324648097097993</v>
      </c>
    </row>
    <row r="405" spans="1:12" x14ac:dyDescent="0.35">
      <c r="A405" t="s">
        <v>1489</v>
      </c>
      <c r="B405" s="1">
        <v>46069</v>
      </c>
      <c r="C405" t="s">
        <v>99</v>
      </c>
      <c r="D405" t="s">
        <v>23</v>
      </c>
      <c r="E405" t="s">
        <v>45</v>
      </c>
      <c r="F405" t="s">
        <v>46</v>
      </c>
      <c r="G405">
        <v>166267.04</v>
      </c>
      <c r="H405">
        <v>148750.15</v>
      </c>
      <c r="I405" t="s">
        <v>32</v>
      </c>
      <c r="J405" t="s">
        <v>19</v>
      </c>
      <c r="K405">
        <v>17516.890000000014</v>
      </c>
      <c r="L405">
        <v>0.10535395349553353</v>
      </c>
    </row>
    <row r="406" spans="1:12" x14ac:dyDescent="0.35">
      <c r="A406" t="s">
        <v>1492</v>
      </c>
      <c r="B406" s="1">
        <v>46202</v>
      </c>
      <c r="C406" t="s">
        <v>99</v>
      </c>
      <c r="D406" t="s">
        <v>53</v>
      </c>
      <c r="E406" t="s">
        <v>109</v>
      </c>
      <c r="F406" t="s">
        <v>79</v>
      </c>
      <c r="G406">
        <v>387043.76</v>
      </c>
      <c r="H406">
        <v>355454.01</v>
      </c>
      <c r="I406" t="s">
        <v>32</v>
      </c>
      <c r="J406" t="s">
        <v>41</v>
      </c>
      <c r="K406">
        <v>31589.75</v>
      </c>
      <c r="L406">
        <v>8.1618032028213036E-2</v>
      </c>
    </row>
    <row r="407" spans="1:12" x14ac:dyDescent="0.35">
      <c r="A407" t="s">
        <v>1495</v>
      </c>
      <c r="B407" s="1">
        <v>46025</v>
      </c>
      <c r="C407" t="s">
        <v>52</v>
      </c>
      <c r="D407" t="s">
        <v>23</v>
      </c>
      <c r="E407" t="s">
        <v>24</v>
      </c>
      <c r="F407" t="s">
        <v>74</v>
      </c>
      <c r="G407">
        <v>168518.69</v>
      </c>
      <c r="H407">
        <v>117272.97</v>
      </c>
      <c r="I407" t="s">
        <v>49</v>
      </c>
      <c r="J407" t="s">
        <v>19</v>
      </c>
      <c r="K407">
        <v>51245.72</v>
      </c>
      <c r="L407">
        <v>0.30409517187678115</v>
      </c>
    </row>
    <row r="408" spans="1:12" x14ac:dyDescent="0.35">
      <c r="A408" t="s">
        <v>1498</v>
      </c>
      <c r="B408" s="1">
        <v>46195</v>
      </c>
      <c r="C408" t="s">
        <v>67</v>
      </c>
      <c r="D408" t="s">
        <v>53</v>
      </c>
      <c r="E408" t="s">
        <v>109</v>
      </c>
      <c r="F408" t="s">
        <v>15</v>
      </c>
      <c r="G408">
        <v>437920.42</v>
      </c>
      <c r="H408">
        <v>403156.96</v>
      </c>
      <c r="I408" t="s">
        <v>32</v>
      </c>
      <c r="J408" t="s">
        <v>19</v>
      </c>
      <c r="K408">
        <v>34763.459999999963</v>
      </c>
      <c r="L408">
        <v>7.9383053204050091E-2</v>
      </c>
    </row>
    <row r="409" spans="1:12" x14ac:dyDescent="0.35">
      <c r="A409" t="s">
        <v>1502</v>
      </c>
      <c r="B409" s="1">
        <v>46048</v>
      </c>
      <c r="C409" t="s">
        <v>3383</v>
      </c>
      <c r="D409" t="s">
        <v>53</v>
      </c>
      <c r="E409" t="s">
        <v>134</v>
      </c>
      <c r="F409" t="s">
        <v>25</v>
      </c>
      <c r="G409">
        <v>71625.86</v>
      </c>
      <c r="H409">
        <v>65900.12</v>
      </c>
      <c r="I409" t="s">
        <v>49</v>
      </c>
      <c r="J409" t="s">
        <v>19</v>
      </c>
      <c r="K409">
        <v>5725.7400000000052</v>
      </c>
      <c r="L409">
        <v>7.9939563727402435E-2</v>
      </c>
    </row>
    <row r="410" spans="1:12" x14ac:dyDescent="0.35">
      <c r="A410" t="s">
        <v>1506</v>
      </c>
      <c r="B410" s="1">
        <v>46032</v>
      </c>
      <c r="C410" t="s">
        <v>99</v>
      </c>
      <c r="D410" t="s">
        <v>23</v>
      </c>
      <c r="E410" t="s">
        <v>24</v>
      </c>
      <c r="F410" t="s">
        <v>79</v>
      </c>
      <c r="G410">
        <v>423837.18</v>
      </c>
      <c r="H410">
        <v>290182.65000000002</v>
      </c>
      <c r="I410" t="s">
        <v>32</v>
      </c>
      <c r="J410" t="s">
        <v>41</v>
      </c>
      <c r="K410">
        <v>133654.52999999997</v>
      </c>
      <c r="L410">
        <v>0.31534404320074039</v>
      </c>
    </row>
    <row r="411" spans="1:12" x14ac:dyDescent="0.35">
      <c r="A411" t="s">
        <v>1509</v>
      </c>
      <c r="B411" s="1">
        <v>46094</v>
      </c>
      <c r="C411" t="s">
        <v>12</v>
      </c>
      <c r="D411" t="s">
        <v>23</v>
      </c>
      <c r="E411" t="s">
        <v>45</v>
      </c>
      <c r="F411" t="s">
        <v>15</v>
      </c>
      <c r="G411">
        <v>357405.3</v>
      </c>
      <c r="H411">
        <v>191947.69</v>
      </c>
      <c r="I411" t="s">
        <v>32</v>
      </c>
      <c r="J411" t="s">
        <v>19</v>
      </c>
      <c r="K411">
        <v>165457.60999999999</v>
      </c>
      <c r="L411">
        <v>0.46294112034712409</v>
      </c>
    </row>
    <row r="412" spans="1:12" x14ac:dyDescent="0.35">
      <c r="A412" t="s">
        <v>1512</v>
      </c>
      <c r="B412" s="1">
        <v>46055</v>
      </c>
      <c r="C412" t="s">
        <v>12</v>
      </c>
      <c r="D412" t="s">
        <v>36</v>
      </c>
      <c r="E412" t="s">
        <v>134</v>
      </c>
      <c r="F412" t="s">
        <v>74</v>
      </c>
      <c r="G412">
        <v>338710.36</v>
      </c>
      <c r="H412">
        <v>201766.47</v>
      </c>
      <c r="I412" t="s">
        <v>18</v>
      </c>
      <c r="J412" t="s">
        <v>41</v>
      </c>
      <c r="K412">
        <v>136943.88999999998</v>
      </c>
      <c r="L412">
        <v>0.40430971760060719</v>
      </c>
    </row>
    <row r="413" spans="1:12" x14ac:dyDescent="0.35">
      <c r="A413" t="s">
        <v>1515</v>
      </c>
      <c r="B413" s="1">
        <v>46048</v>
      </c>
      <c r="C413" t="s">
        <v>99</v>
      </c>
      <c r="D413" t="s">
        <v>53</v>
      </c>
      <c r="E413" t="s">
        <v>45</v>
      </c>
      <c r="F413" t="s">
        <v>74</v>
      </c>
      <c r="G413">
        <v>366901.57</v>
      </c>
      <c r="H413">
        <v>212649.81</v>
      </c>
      <c r="I413" t="s">
        <v>18</v>
      </c>
      <c r="J413" t="s">
        <v>41</v>
      </c>
      <c r="K413">
        <v>154251.76</v>
      </c>
      <c r="L413">
        <v>0.42041727976252596</v>
      </c>
    </row>
    <row r="414" spans="1:12" x14ac:dyDescent="0.35">
      <c r="A414" t="s">
        <v>1518</v>
      </c>
      <c r="B414" s="1">
        <v>46081</v>
      </c>
      <c r="C414" t="s">
        <v>3383</v>
      </c>
      <c r="D414" t="s">
        <v>23</v>
      </c>
      <c r="E414" t="s">
        <v>134</v>
      </c>
      <c r="F414" t="s">
        <v>15</v>
      </c>
      <c r="G414">
        <v>368682</v>
      </c>
      <c r="H414">
        <v>324278.53999999998</v>
      </c>
      <c r="I414" t="s">
        <v>18</v>
      </c>
      <c r="J414" t="s">
        <v>41</v>
      </c>
      <c r="K414">
        <v>44403.460000000021</v>
      </c>
      <c r="L414">
        <v>0.12043837236425978</v>
      </c>
    </row>
    <row r="415" spans="1:12" x14ac:dyDescent="0.35">
      <c r="A415" t="s">
        <v>1521</v>
      </c>
      <c r="B415" s="1">
        <v>46186</v>
      </c>
      <c r="C415" t="s">
        <v>12</v>
      </c>
      <c r="D415" t="s">
        <v>23</v>
      </c>
      <c r="E415" t="s">
        <v>109</v>
      </c>
      <c r="F415" t="s">
        <v>79</v>
      </c>
      <c r="G415">
        <v>490894.88</v>
      </c>
      <c r="H415">
        <v>292386.46000000002</v>
      </c>
      <c r="I415" t="s">
        <v>49</v>
      </c>
      <c r="J415" t="s">
        <v>41</v>
      </c>
      <c r="K415">
        <v>198508.41999999998</v>
      </c>
      <c r="L415">
        <v>0.40438070977639851</v>
      </c>
    </row>
    <row r="416" spans="1:12" x14ac:dyDescent="0.35">
      <c r="A416" t="s">
        <v>1524</v>
      </c>
      <c r="B416" s="1">
        <v>46133</v>
      </c>
      <c r="C416" t="s">
        <v>12</v>
      </c>
      <c r="D416" t="s">
        <v>53</v>
      </c>
      <c r="E416" t="s">
        <v>24</v>
      </c>
      <c r="F416" t="s">
        <v>79</v>
      </c>
      <c r="G416">
        <v>84908.46</v>
      </c>
      <c r="H416">
        <v>72738</v>
      </c>
      <c r="I416" t="s">
        <v>32</v>
      </c>
      <c r="J416" t="s">
        <v>19</v>
      </c>
      <c r="K416">
        <v>12170.460000000006</v>
      </c>
      <c r="L416">
        <v>0.14333624705948037</v>
      </c>
    </row>
    <row r="417" spans="1:12" x14ac:dyDescent="0.35">
      <c r="A417" t="s">
        <v>1527</v>
      </c>
      <c r="B417" s="1">
        <v>46084</v>
      </c>
      <c r="C417" t="s">
        <v>99</v>
      </c>
      <c r="D417" t="s">
        <v>23</v>
      </c>
      <c r="E417" t="s">
        <v>24</v>
      </c>
      <c r="F417" t="s">
        <v>25</v>
      </c>
      <c r="G417">
        <v>370241.69</v>
      </c>
      <c r="H417">
        <v>307558.09000000003</v>
      </c>
      <c r="I417" t="s">
        <v>18</v>
      </c>
      <c r="J417" t="s">
        <v>19</v>
      </c>
      <c r="K417">
        <v>62683.599999999977</v>
      </c>
      <c r="L417">
        <v>0.16930454266238892</v>
      </c>
    </row>
    <row r="418" spans="1:12" x14ac:dyDescent="0.35">
      <c r="A418" t="s">
        <v>1531</v>
      </c>
      <c r="B418" s="1">
        <v>46132</v>
      </c>
      <c r="C418" t="s">
        <v>12</v>
      </c>
      <c r="D418" t="s">
        <v>53</v>
      </c>
      <c r="E418" t="s">
        <v>45</v>
      </c>
      <c r="F418" t="s">
        <v>46</v>
      </c>
      <c r="G418">
        <v>153447.32999999999</v>
      </c>
      <c r="H418">
        <v>86323.3</v>
      </c>
      <c r="I418" t="s">
        <v>18</v>
      </c>
      <c r="J418" t="s">
        <v>19</v>
      </c>
      <c r="K418">
        <v>67124.029999999984</v>
      </c>
      <c r="L418">
        <v>0.43744019527742833</v>
      </c>
    </row>
    <row r="419" spans="1:12" x14ac:dyDescent="0.35">
      <c r="A419" t="s">
        <v>1534</v>
      </c>
      <c r="B419" s="1">
        <v>46144</v>
      </c>
      <c r="C419" t="s">
        <v>3383</v>
      </c>
      <c r="D419" t="s">
        <v>36</v>
      </c>
      <c r="E419" t="s">
        <v>109</v>
      </c>
      <c r="F419" t="s">
        <v>46</v>
      </c>
      <c r="G419">
        <v>474717.64</v>
      </c>
      <c r="H419">
        <v>191332.95</v>
      </c>
      <c r="I419" t="s">
        <v>18</v>
      </c>
      <c r="J419" t="s">
        <v>41</v>
      </c>
      <c r="K419">
        <v>283384.69</v>
      </c>
      <c r="L419">
        <v>0.59695420208105177</v>
      </c>
    </row>
    <row r="420" spans="1:12" x14ac:dyDescent="0.35">
      <c r="A420" t="s">
        <v>1537</v>
      </c>
      <c r="B420" s="1">
        <v>46126</v>
      </c>
      <c r="C420" t="s">
        <v>99</v>
      </c>
      <c r="D420" t="s">
        <v>23</v>
      </c>
      <c r="E420" t="s">
        <v>24</v>
      </c>
      <c r="F420" t="s">
        <v>25</v>
      </c>
      <c r="G420">
        <v>340474.57</v>
      </c>
      <c r="H420">
        <v>259929.58</v>
      </c>
      <c r="I420" t="s">
        <v>49</v>
      </c>
      <c r="J420" t="s">
        <v>19</v>
      </c>
      <c r="K420">
        <v>80544.99000000002</v>
      </c>
      <c r="L420">
        <v>0.23656683082087457</v>
      </c>
    </row>
    <row r="421" spans="1:12" x14ac:dyDescent="0.35">
      <c r="A421" t="s">
        <v>1540</v>
      </c>
      <c r="B421" s="1">
        <v>46136</v>
      </c>
      <c r="C421" t="s">
        <v>12</v>
      </c>
      <c r="D421" t="s">
        <v>36</v>
      </c>
      <c r="E421" t="s">
        <v>24</v>
      </c>
      <c r="F421" t="s">
        <v>15</v>
      </c>
      <c r="G421">
        <v>378741.97</v>
      </c>
      <c r="H421">
        <v>259405.75</v>
      </c>
      <c r="I421" t="s">
        <v>49</v>
      </c>
      <c r="J421" t="s">
        <v>19</v>
      </c>
      <c r="K421">
        <v>119336.21999999997</v>
      </c>
      <c r="L421">
        <v>0.31508580894797578</v>
      </c>
    </row>
    <row r="422" spans="1:12" x14ac:dyDescent="0.35">
      <c r="A422" t="s">
        <v>1543</v>
      </c>
      <c r="B422" s="1">
        <v>46029</v>
      </c>
      <c r="C422" t="s">
        <v>67</v>
      </c>
      <c r="D422" t="s">
        <v>36</v>
      </c>
      <c r="E422" t="s">
        <v>14</v>
      </c>
      <c r="F422" t="s">
        <v>25</v>
      </c>
      <c r="G422">
        <v>440034.32</v>
      </c>
      <c r="H422">
        <v>293368.84999999998</v>
      </c>
      <c r="I422" t="s">
        <v>49</v>
      </c>
      <c r="J422" t="s">
        <v>19</v>
      </c>
      <c r="K422">
        <v>146665.47000000003</v>
      </c>
      <c r="L422">
        <v>0.33330461587632537</v>
      </c>
    </row>
    <row r="423" spans="1:12" x14ac:dyDescent="0.35">
      <c r="A423" t="s">
        <v>1547</v>
      </c>
      <c r="B423" s="1">
        <v>46036</v>
      </c>
      <c r="C423" t="s">
        <v>12</v>
      </c>
      <c r="D423" t="s">
        <v>53</v>
      </c>
      <c r="E423" t="s">
        <v>14</v>
      </c>
      <c r="F423" t="s">
        <v>79</v>
      </c>
      <c r="G423">
        <v>179604.04</v>
      </c>
      <c r="H423">
        <v>167208.4</v>
      </c>
      <c r="I423" t="s">
        <v>49</v>
      </c>
      <c r="J423" t="s">
        <v>19</v>
      </c>
      <c r="K423">
        <v>12395.640000000014</v>
      </c>
      <c r="L423">
        <v>6.901648760239476E-2</v>
      </c>
    </row>
    <row r="424" spans="1:12" x14ac:dyDescent="0.35">
      <c r="A424" t="s">
        <v>1550</v>
      </c>
      <c r="B424" s="1">
        <v>46194</v>
      </c>
      <c r="C424" t="s">
        <v>52</v>
      </c>
      <c r="D424" t="s">
        <v>23</v>
      </c>
      <c r="E424" t="s">
        <v>24</v>
      </c>
      <c r="F424" t="s">
        <v>38</v>
      </c>
      <c r="G424">
        <v>482512.36</v>
      </c>
      <c r="H424">
        <v>366541.78</v>
      </c>
      <c r="I424" t="s">
        <v>32</v>
      </c>
      <c r="J424" t="s">
        <v>41</v>
      </c>
      <c r="K424">
        <v>115970.57999999996</v>
      </c>
      <c r="L424">
        <v>0.24034737680087606</v>
      </c>
    </row>
    <row r="425" spans="1:12" x14ac:dyDescent="0.35">
      <c r="A425" t="s">
        <v>1553</v>
      </c>
      <c r="B425" s="1">
        <v>46151</v>
      </c>
      <c r="C425" t="s">
        <v>99</v>
      </c>
      <c r="D425" t="s">
        <v>36</v>
      </c>
      <c r="E425" t="s">
        <v>24</v>
      </c>
      <c r="F425" t="s">
        <v>46</v>
      </c>
      <c r="G425">
        <v>172627.28</v>
      </c>
      <c r="H425">
        <v>113975.03999999999</v>
      </c>
      <c r="I425" t="s">
        <v>49</v>
      </c>
      <c r="J425" t="s">
        <v>19</v>
      </c>
      <c r="K425">
        <v>58652.240000000005</v>
      </c>
      <c r="L425">
        <v>0.33976229017800669</v>
      </c>
    </row>
    <row r="426" spans="1:12" x14ac:dyDescent="0.35">
      <c r="A426" t="s">
        <v>1557</v>
      </c>
      <c r="B426" s="1">
        <v>46035</v>
      </c>
      <c r="C426" t="s">
        <v>3383</v>
      </c>
      <c r="D426" t="s">
        <v>23</v>
      </c>
      <c r="E426" t="s">
        <v>109</v>
      </c>
      <c r="F426" t="s">
        <v>79</v>
      </c>
      <c r="G426">
        <v>136348.09</v>
      </c>
      <c r="H426">
        <v>59246.07</v>
      </c>
      <c r="I426" t="s">
        <v>18</v>
      </c>
      <c r="J426" t="s">
        <v>41</v>
      </c>
      <c r="K426">
        <v>77102.01999999999</v>
      </c>
      <c r="L426">
        <v>0.56547928174131368</v>
      </c>
    </row>
    <row r="427" spans="1:12" x14ac:dyDescent="0.35">
      <c r="A427" t="s">
        <v>1561</v>
      </c>
      <c r="B427" s="1">
        <v>46027</v>
      </c>
      <c r="C427" t="s">
        <v>99</v>
      </c>
      <c r="D427" t="s">
        <v>36</v>
      </c>
      <c r="E427" t="s">
        <v>109</v>
      </c>
      <c r="F427" t="s">
        <v>46</v>
      </c>
      <c r="G427">
        <v>329083.74</v>
      </c>
      <c r="H427">
        <v>212437.17</v>
      </c>
      <c r="I427" t="s">
        <v>32</v>
      </c>
      <c r="J427" t="s">
        <v>19</v>
      </c>
      <c r="K427">
        <v>116646.56999999998</v>
      </c>
      <c r="L427">
        <v>0.35445862502960485</v>
      </c>
    </row>
    <row r="428" spans="1:12" x14ac:dyDescent="0.35">
      <c r="A428" t="s">
        <v>1564</v>
      </c>
      <c r="B428" s="1">
        <v>46120</v>
      </c>
      <c r="C428" t="s">
        <v>67</v>
      </c>
      <c r="D428" t="s">
        <v>53</v>
      </c>
      <c r="E428" t="s">
        <v>24</v>
      </c>
      <c r="F428" t="s">
        <v>46</v>
      </c>
      <c r="G428">
        <v>465858.79</v>
      </c>
      <c r="H428">
        <v>247238.25</v>
      </c>
      <c r="I428" t="s">
        <v>18</v>
      </c>
      <c r="J428" t="s">
        <v>19</v>
      </c>
      <c r="K428">
        <v>218620.53999999998</v>
      </c>
      <c r="L428">
        <v>0.46928499513768968</v>
      </c>
    </row>
    <row r="429" spans="1:12" x14ac:dyDescent="0.35">
      <c r="A429" t="s">
        <v>1568</v>
      </c>
      <c r="B429" s="1">
        <v>46114</v>
      </c>
      <c r="C429" t="s">
        <v>12</v>
      </c>
      <c r="D429" t="s">
        <v>23</v>
      </c>
      <c r="E429" t="s">
        <v>134</v>
      </c>
      <c r="F429" t="s">
        <v>38</v>
      </c>
      <c r="G429">
        <v>478097.73</v>
      </c>
      <c r="H429">
        <v>254408.42</v>
      </c>
      <c r="I429" t="s">
        <v>49</v>
      </c>
      <c r="J429" t="s">
        <v>41</v>
      </c>
      <c r="K429">
        <v>223689.30999999997</v>
      </c>
      <c r="L429">
        <v>0.46787360818466966</v>
      </c>
    </row>
    <row r="430" spans="1:12" x14ac:dyDescent="0.35">
      <c r="A430" t="s">
        <v>1571</v>
      </c>
      <c r="B430" s="1">
        <v>46140</v>
      </c>
      <c r="C430" t="s">
        <v>99</v>
      </c>
      <c r="D430" t="s">
        <v>36</v>
      </c>
      <c r="E430" t="s">
        <v>45</v>
      </c>
      <c r="F430" t="s">
        <v>74</v>
      </c>
      <c r="G430">
        <v>467339.25</v>
      </c>
      <c r="H430">
        <v>394924.12</v>
      </c>
      <c r="I430" t="s">
        <v>18</v>
      </c>
      <c r="J430" t="s">
        <v>19</v>
      </c>
      <c r="K430">
        <v>72415.13</v>
      </c>
      <c r="L430">
        <v>0.1549519540676286</v>
      </c>
    </row>
    <row r="431" spans="1:12" x14ac:dyDescent="0.35">
      <c r="A431" t="s">
        <v>1574</v>
      </c>
      <c r="B431" s="1">
        <v>46076</v>
      </c>
      <c r="C431" t="s">
        <v>12</v>
      </c>
      <c r="D431" t="s">
        <v>53</v>
      </c>
      <c r="E431" t="s">
        <v>134</v>
      </c>
      <c r="F431" t="s">
        <v>25</v>
      </c>
      <c r="G431">
        <v>449335.96</v>
      </c>
      <c r="H431">
        <v>346896.33</v>
      </c>
      <c r="I431" t="s">
        <v>49</v>
      </c>
      <c r="J431" t="s">
        <v>19</v>
      </c>
      <c r="K431">
        <v>102439.63</v>
      </c>
      <c r="L431">
        <v>0.22798003970125161</v>
      </c>
    </row>
    <row r="432" spans="1:12" x14ac:dyDescent="0.35">
      <c r="A432" t="s">
        <v>1577</v>
      </c>
      <c r="B432" s="1">
        <v>46194</v>
      </c>
      <c r="C432" t="s">
        <v>12</v>
      </c>
      <c r="D432" t="s">
        <v>23</v>
      </c>
      <c r="E432" t="s">
        <v>37</v>
      </c>
      <c r="F432" t="s">
        <v>74</v>
      </c>
      <c r="G432">
        <v>317688.15999999997</v>
      </c>
      <c r="H432">
        <v>281622.90999999997</v>
      </c>
      <c r="I432" t="s">
        <v>32</v>
      </c>
      <c r="J432" t="s">
        <v>41</v>
      </c>
      <c r="K432">
        <v>36065.25</v>
      </c>
      <c r="L432">
        <v>0.11352406082744791</v>
      </c>
    </row>
    <row r="433" spans="1:12" x14ac:dyDescent="0.35">
      <c r="A433" t="s">
        <v>1580</v>
      </c>
      <c r="B433" s="1">
        <v>46195</v>
      </c>
      <c r="C433" t="s">
        <v>3383</v>
      </c>
      <c r="D433" t="s">
        <v>36</v>
      </c>
      <c r="E433" t="s">
        <v>45</v>
      </c>
      <c r="F433" t="s">
        <v>79</v>
      </c>
      <c r="G433">
        <v>258385.77</v>
      </c>
      <c r="H433">
        <v>122662.07</v>
      </c>
      <c r="I433" t="s">
        <v>18</v>
      </c>
      <c r="J433" t="s">
        <v>19</v>
      </c>
      <c r="K433">
        <v>135723.69999999998</v>
      </c>
      <c r="L433">
        <v>0.52527544376766566</v>
      </c>
    </row>
    <row r="434" spans="1:12" x14ac:dyDescent="0.35">
      <c r="A434" t="s">
        <v>1584</v>
      </c>
      <c r="B434" s="1">
        <v>46084</v>
      </c>
      <c r="C434" t="s">
        <v>52</v>
      </c>
      <c r="D434" t="s">
        <v>23</v>
      </c>
      <c r="E434" t="s">
        <v>134</v>
      </c>
      <c r="F434" t="s">
        <v>15</v>
      </c>
      <c r="G434">
        <v>293478.77</v>
      </c>
      <c r="H434">
        <v>169629.66</v>
      </c>
      <c r="I434" t="s">
        <v>49</v>
      </c>
      <c r="J434" t="s">
        <v>19</v>
      </c>
      <c r="K434">
        <v>123849.11000000002</v>
      </c>
      <c r="L434">
        <v>0.42200364271664353</v>
      </c>
    </row>
    <row r="435" spans="1:12" x14ac:dyDescent="0.35">
      <c r="A435" t="s">
        <v>1587</v>
      </c>
      <c r="B435" s="1">
        <v>46148</v>
      </c>
      <c r="C435" t="s">
        <v>67</v>
      </c>
      <c r="D435" t="s">
        <v>53</v>
      </c>
      <c r="E435" t="s">
        <v>37</v>
      </c>
      <c r="F435" t="s">
        <v>15</v>
      </c>
      <c r="G435">
        <v>74798.09</v>
      </c>
      <c r="H435">
        <v>37278.28</v>
      </c>
      <c r="I435" t="s">
        <v>32</v>
      </c>
      <c r="J435" t="s">
        <v>41</v>
      </c>
      <c r="K435">
        <v>37519.81</v>
      </c>
      <c r="L435">
        <v>0.50161454657465188</v>
      </c>
    </row>
    <row r="436" spans="1:12" x14ac:dyDescent="0.35">
      <c r="A436" t="s">
        <v>1590</v>
      </c>
      <c r="B436" s="1">
        <v>46197</v>
      </c>
      <c r="C436" t="s">
        <v>12</v>
      </c>
      <c r="D436" t="s">
        <v>36</v>
      </c>
      <c r="E436" t="s">
        <v>134</v>
      </c>
      <c r="F436" t="s">
        <v>15</v>
      </c>
      <c r="G436">
        <v>84487.45</v>
      </c>
      <c r="H436">
        <v>55239.4</v>
      </c>
      <c r="I436" t="s">
        <v>32</v>
      </c>
      <c r="J436" t="s">
        <v>41</v>
      </c>
      <c r="K436">
        <v>29248.049999999996</v>
      </c>
      <c r="L436">
        <v>0.34618218445461424</v>
      </c>
    </row>
    <row r="437" spans="1:12" x14ac:dyDescent="0.35">
      <c r="A437" t="s">
        <v>1594</v>
      </c>
      <c r="B437" s="1">
        <v>46065</v>
      </c>
      <c r="C437" t="s">
        <v>99</v>
      </c>
      <c r="D437" t="s">
        <v>53</v>
      </c>
      <c r="E437" t="s">
        <v>109</v>
      </c>
      <c r="F437" t="s">
        <v>74</v>
      </c>
      <c r="G437">
        <v>58638.61</v>
      </c>
      <c r="H437">
        <v>32472.67</v>
      </c>
      <c r="I437" t="s">
        <v>32</v>
      </c>
      <c r="J437" t="s">
        <v>19</v>
      </c>
      <c r="K437">
        <v>26165.940000000002</v>
      </c>
      <c r="L437">
        <v>0.44622374234314222</v>
      </c>
    </row>
    <row r="438" spans="1:12" x14ac:dyDescent="0.35">
      <c r="A438" t="s">
        <v>1598</v>
      </c>
      <c r="B438" s="1">
        <v>46157</v>
      </c>
      <c r="C438" t="s">
        <v>12</v>
      </c>
      <c r="D438" t="s">
        <v>53</v>
      </c>
      <c r="E438" t="s">
        <v>45</v>
      </c>
      <c r="F438" t="s">
        <v>79</v>
      </c>
      <c r="G438">
        <v>417620.54</v>
      </c>
      <c r="H438">
        <v>374271.91</v>
      </c>
      <c r="I438" t="s">
        <v>49</v>
      </c>
      <c r="J438" t="s">
        <v>41</v>
      </c>
      <c r="K438">
        <v>43348.630000000005</v>
      </c>
      <c r="L438">
        <v>0.10379908516951777</v>
      </c>
    </row>
    <row r="439" spans="1:12" x14ac:dyDescent="0.35">
      <c r="A439" t="s">
        <v>1601</v>
      </c>
      <c r="B439" s="1">
        <v>46059</v>
      </c>
      <c r="C439" t="s">
        <v>52</v>
      </c>
      <c r="D439" t="s">
        <v>36</v>
      </c>
      <c r="E439" t="s">
        <v>109</v>
      </c>
      <c r="F439" t="s">
        <v>74</v>
      </c>
      <c r="G439">
        <v>428185.55</v>
      </c>
      <c r="H439">
        <v>217062.91</v>
      </c>
      <c r="I439" t="s">
        <v>32</v>
      </c>
      <c r="J439" t="s">
        <v>41</v>
      </c>
      <c r="K439">
        <v>211122.63999999998</v>
      </c>
      <c r="L439">
        <v>0.4930634394364779</v>
      </c>
    </row>
    <row r="440" spans="1:12" x14ac:dyDescent="0.35">
      <c r="A440" t="s">
        <v>1605</v>
      </c>
      <c r="B440" s="1">
        <v>46114</v>
      </c>
      <c r="C440" t="s">
        <v>99</v>
      </c>
      <c r="D440" t="s">
        <v>53</v>
      </c>
      <c r="E440" t="s">
        <v>14</v>
      </c>
      <c r="F440" t="s">
        <v>46</v>
      </c>
      <c r="G440">
        <v>258753.83</v>
      </c>
      <c r="H440">
        <v>225755.77</v>
      </c>
      <c r="I440" t="s">
        <v>49</v>
      </c>
      <c r="J440" t="s">
        <v>41</v>
      </c>
      <c r="K440">
        <v>32998.06</v>
      </c>
      <c r="L440">
        <v>0.1275268466557577</v>
      </c>
    </row>
    <row r="441" spans="1:12" x14ac:dyDescent="0.35">
      <c r="A441" t="s">
        <v>1608</v>
      </c>
      <c r="B441" s="1">
        <v>46101</v>
      </c>
      <c r="C441" t="s">
        <v>3383</v>
      </c>
      <c r="D441" t="s">
        <v>23</v>
      </c>
      <c r="E441" t="s">
        <v>109</v>
      </c>
      <c r="F441" t="s">
        <v>25</v>
      </c>
      <c r="G441">
        <v>89732.31</v>
      </c>
      <c r="H441">
        <v>56740.89</v>
      </c>
      <c r="I441" t="s">
        <v>18</v>
      </c>
      <c r="J441" t="s">
        <v>41</v>
      </c>
      <c r="K441">
        <v>32991.42</v>
      </c>
      <c r="L441">
        <v>0.36766489127494878</v>
      </c>
    </row>
    <row r="442" spans="1:12" x14ac:dyDescent="0.35">
      <c r="A442" t="s">
        <v>1611</v>
      </c>
      <c r="B442" s="1">
        <v>46174</v>
      </c>
      <c r="C442" t="s">
        <v>12</v>
      </c>
      <c r="D442" t="s">
        <v>53</v>
      </c>
      <c r="E442" t="s">
        <v>109</v>
      </c>
      <c r="F442" t="s">
        <v>38</v>
      </c>
      <c r="G442">
        <v>258971.45</v>
      </c>
      <c r="H442">
        <v>149602.22</v>
      </c>
      <c r="I442" t="s">
        <v>49</v>
      </c>
      <c r="J442" t="s">
        <v>19</v>
      </c>
      <c r="K442">
        <v>109369.23000000001</v>
      </c>
      <c r="L442">
        <v>0.42232157251310909</v>
      </c>
    </row>
    <row r="443" spans="1:12" x14ac:dyDescent="0.35">
      <c r="A443" t="s">
        <v>1614</v>
      </c>
      <c r="B443" s="1">
        <v>46145</v>
      </c>
      <c r="C443" t="s">
        <v>52</v>
      </c>
      <c r="D443" t="s">
        <v>36</v>
      </c>
      <c r="E443" t="s">
        <v>14</v>
      </c>
      <c r="F443" t="s">
        <v>15</v>
      </c>
      <c r="G443">
        <v>209754.56</v>
      </c>
      <c r="H443">
        <v>148344.32999999999</v>
      </c>
      <c r="I443" t="s">
        <v>49</v>
      </c>
      <c r="J443" t="s">
        <v>41</v>
      </c>
      <c r="K443">
        <v>61410.23000000001</v>
      </c>
      <c r="L443">
        <v>0.29277184724851757</v>
      </c>
    </row>
    <row r="444" spans="1:12" x14ac:dyDescent="0.35">
      <c r="A444" t="s">
        <v>1617</v>
      </c>
      <c r="B444" s="1">
        <v>46052</v>
      </c>
      <c r="C444" t="s">
        <v>52</v>
      </c>
      <c r="D444" t="s">
        <v>53</v>
      </c>
      <c r="E444" t="s">
        <v>37</v>
      </c>
      <c r="F444" t="s">
        <v>15</v>
      </c>
      <c r="G444">
        <v>310624.95</v>
      </c>
      <c r="H444">
        <v>277817.75</v>
      </c>
      <c r="I444" t="s">
        <v>49</v>
      </c>
      <c r="J444" t="s">
        <v>19</v>
      </c>
      <c r="K444">
        <v>32807.200000000012</v>
      </c>
      <c r="L444">
        <v>0.10561675744334127</v>
      </c>
    </row>
    <row r="445" spans="1:12" x14ac:dyDescent="0.35">
      <c r="A445" t="s">
        <v>1621</v>
      </c>
      <c r="B445" s="1">
        <v>46039</v>
      </c>
      <c r="C445" t="s">
        <v>3383</v>
      </c>
      <c r="D445" t="s">
        <v>53</v>
      </c>
      <c r="E445" t="s">
        <v>134</v>
      </c>
      <c r="F445" t="s">
        <v>38</v>
      </c>
      <c r="G445">
        <v>333310.3</v>
      </c>
      <c r="H445">
        <v>313197.15999999997</v>
      </c>
      <c r="I445" t="s">
        <v>49</v>
      </c>
      <c r="J445" t="s">
        <v>19</v>
      </c>
      <c r="K445">
        <v>20113.140000000014</v>
      </c>
      <c r="L445">
        <v>6.0343589742051222E-2</v>
      </c>
    </row>
    <row r="446" spans="1:12" x14ac:dyDescent="0.35">
      <c r="A446" t="s">
        <v>1624</v>
      </c>
      <c r="B446" s="1">
        <v>46030</v>
      </c>
      <c r="C446" t="s">
        <v>3383</v>
      </c>
      <c r="D446" t="s">
        <v>36</v>
      </c>
      <c r="E446" t="s">
        <v>14</v>
      </c>
      <c r="F446" t="s">
        <v>74</v>
      </c>
      <c r="G446">
        <v>260299.49</v>
      </c>
      <c r="H446">
        <v>183540.11</v>
      </c>
      <c r="I446" t="s">
        <v>18</v>
      </c>
      <c r="J446" t="s">
        <v>19</v>
      </c>
      <c r="K446">
        <v>76759.38</v>
      </c>
      <c r="L446">
        <v>0.29488870685071267</v>
      </c>
    </row>
    <row r="447" spans="1:12" x14ac:dyDescent="0.35">
      <c r="A447" t="s">
        <v>1627</v>
      </c>
      <c r="B447" s="1">
        <v>46046</v>
      </c>
      <c r="C447" t="s">
        <v>99</v>
      </c>
      <c r="D447" t="s">
        <v>53</v>
      </c>
      <c r="E447" t="s">
        <v>109</v>
      </c>
      <c r="F447" t="s">
        <v>38</v>
      </c>
      <c r="G447">
        <v>447511.52</v>
      </c>
      <c r="H447">
        <v>376073.61</v>
      </c>
      <c r="I447" t="s">
        <v>32</v>
      </c>
      <c r="J447" t="s">
        <v>19</v>
      </c>
      <c r="K447">
        <v>71437.910000000033</v>
      </c>
      <c r="L447">
        <v>0.15963367825704247</v>
      </c>
    </row>
    <row r="448" spans="1:12" x14ac:dyDescent="0.35">
      <c r="A448" t="s">
        <v>1630</v>
      </c>
      <c r="B448" s="1">
        <v>46133</v>
      </c>
      <c r="C448" t="s">
        <v>3383</v>
      </c>
      <c r="D448" t="s">
        <v>23</v>
      </c>
      <c r="E448" t="s">
        <v>24</v>
      </c>
      <c r="F448" t="s">
        <v>79</v>
      </c>
      <c r="G448">
        <v>376088.09</v>
      </c>
      <c r="H448">
        <v>190145.11</v>
      </c>
      <c r="I448" t="s">
        <v>49</v>
      </c>
      <c r="J448" t="s">
        <v>19</v>
      </c>
      <c r="K448">
        <v>185942.98000000004</v>
      </c>
      <c r="L448">
        <v>0.49441337001658314</v>
      </c>
    </row>
    <row r="449" spans="1:12" x14ac:dyDescent="0.35">
      <c r="A449" t="s">
        <v>1633</v>
      </c>
      <c r="B449" s="1">
        <v>46186</v>
      </c>
      <c r="C449" t="s">
        <v>12</v>
      </c>
      <c r="D449" t="s">
        <v>53</v>
      </c>
      <c r="E449" t="s">
        <v>45</v>
      </c>
      <c r="F449" t="s">
        <v>79</v>
      </c>
      <c r="G449">
        <v>443806.53</v>
      </c>
      <c r="H449">
        <v>412497.25</v>
      </c>
      <c r="I449" t="s">
        <v>49</v>
      </c>
      <c r="J449" t="s">
        <v>19</v>
      </c>
      <c r="K449">
        <v>31309.280000000028</v>
      </c>
      <c r="L449">
        <v>7.0547136834602286E-2</v>
      </c>
    </row>
    <row r="450" spans="1:12" x14ac:dyDescent="0.35">
      <c r="A450" t="s">
        <v>1636</v>
      </c>
      <c r="B450" s="1">
        <v>46160</v>
      </c>
      <c r="C450" t="s">
        <v>52</v>
      </c>
      <c r="D450" t="s">
        <v>36</v>
      </c>
      <c r="E450" t="s">
        <v>45</v>
      </c>
      <c r="F450" t="s">
        <v>25</v>
      </c>
      <c r="G450">
        <v>176861.33</v>
      </c>
      <c r="H450">
        <v>135362.74</v>
      </c>
      <c r="I450" t="s">
        <v>18</v>
      </c>
      <c r="J450" t="s">
        <v>19</v>
      </c>
      <c r="K450">
        <v>41498.589999999997</v>
      </c>
      <c r="L450">
        <v>0.2346391379053861</v>
      </c>
    </row>
    <row r="451" spans="1:12" x14ac:dyDescent="0.35">
      <c r="A451" t="s">
        <v>1640</v>
      </c>
      <c r="B451" s="1">
        <v>46140</v>
      </c>
      <c r="C451" t="s">
        <v>3383</v>
      </c>
      <c r="D451" t="s">
        <v>53</v>
      </c>
      <c r="E451" t="s">
        <v>109</v>
      </c>
      <c r="F451" t="s">
        <v>25</v>
      </c>
      <c r="G451">
        <v>259551.18</v>
      </c>
      <c r="H451">
        <v>235170.61</v>
      </c>
      <c r="I451" t="s">
        <v>32</v>
      </c>
      <c r="J451" t="s">
        <v>19</v>
      </c>
      <c r="K451">
        <v>24380.570000000007</v>
      </c>
      <c r="L451">
        <v>9.3933574102803188E-2</v>
      </c>
    </row>
    <row r="452" spans="1:12" x14ac:dyDescent="0.35">
      <c r="A452" t="s">
        <v>1643</v>
      </c>
      <c r="B452" s="1">
        <v>46109</v>
      </c>
      <c r="C452" t="s">
        <v>3383</v>
      </c>
      <c r="D452" t="s">
        <v>23</v>
      </c>
      <c r="E452" t="s">
        <v>24</v>
      </c>
      <c r="F452" t="s">
        <v>15</v>
      </c>
      <c r="G452">
        <v>465612.1</v>
      </c>
      <c r="H452">
        <v>299470.37</v>
      </c>
      <c r="I452" t="s">
        <v>32</v>
      </c>
      <c r="J452" t="s">
        <v>41</v>
      </c>
      <c r="K452">
        <v>166141.72999999998</v>
      </c>
      <c r="L452">
        <v>0.35682433940183256</v>
      </c>
    </row>
    <row r="453" spans="1:12" x14ac:dyDescent="0.35">
      <c r="A453" t="s">
        <v>1647</v>
      </c>
      <c r="B453" s="1">
        <v>46202</v>
      </c>
      <c r="C453" t="s">
        <v>12</v>
      </c>
      <c r="D453" t="s">
        <v>36</v>
      </c>
      <c r="E453" t="s">
        <v>37</v>
      </c>
      <c r="F453" t="s">
        <v>46</v>
      </c>
      <c r="G453">
        <v>318054.39</v>
      </c>
      <c r="H453">
        <v>272584.21999999997</v>
      </c>
      <c r="I453" t="s">
        <v>18</v>
      </c>
      <c r="J453" t="s">
        <v>41</v>
      </c>
      <c r="K453">
        <v>45470.170000000042</v>
      </c>
      <c r="L453">
        <v>0.14296350382084033</v>
      </c>
    </row>
    <row r="454" spans="1:12" x14ac:dyDescent="0.35">
      <c r="A454" t="s">
        <v>1650</v>
      </c>
      <c r="B454" s="1">
        <v>46179</v>
      </c>
      <c r="C454" t="s">
        <v>12</v>
      </c>
      <c r="D454" t="s">
        <v>53</v>
      </c>
      <c r="E454" t="s">
        <v>37</v>
      </c>
      <c r="F454" t="s">
        <v>46</v>
      </c>
      <c r="G454">
        <v>228972.64</v>
      </c>
      <c r="H454">
        <v>201571.01</v>
      </c>
      <c r="I454" t="s">
        <v>49</v>
      </c>
      <c r="J454" t="s">
        <v>41</v>
      </c>
      <c r="K454">
        <v>27401.630000000005</v>
      </c>
      <c r="L454">
        <v>0.11967207086401241</v>
      </c>
    </row>
    <row r="455" spans="1:12" x14ac:dyDescent="0.35">
      <c r="A455" t="s">
        <v>1654</v>
      </c>
      <c r="B455" s="1">
        <v>46068</v>
      </c>
      <c r="C455" t="s">
        <v>67</v>
      </c>
      <c r="D455" t="s">
        <v>53</v>
      </c>
      <c r="E455" t="s">
        <v>134</v>
      </c>
      <c r="F455" t="s">
        <v>25</v>
      </c>
      <c r="G455">
        <v>296614.84999999998</v>
      </c>
      <c r="H455">
        <v>125281.14</v>
      </c>
      <c r="I455" t="s">
        <v>18</v>
      </c>
      <c r="J455" t="s">
        <v>19</v>
      </c>
      <c r="K455">
        <v>171333.70999999996</v>
      </c>
      <c r="L455">
        <v>0.5776302501375099</v>
      </c>
    </row>
    <row r="456" spans="1:12" x14ac:dyDescent="0.35">
      <c r="A456" t="s">
        <v>1658</v>
      </c>
      <c r="B456" s="1">
        <v>46049</v>
      </c>
      <c r="C456" t="s">
        <v>52</v>
      </c>
      <c r="D456" t="s">
        <v>53</v>
      </c>
      <c r="E456" t="s">
        <v>14</v>
      </c>
      <c r="F456" t="s">
        <v>15</v>
      </c>
      <c r="G456">
        <v>371822.81</v>
      </c>
      <c r="H456">
        <v>314662.84000000003</v>
      </c>
      <c r="I456" t="s">
        <v>32</v>
      </c>
      <c r="J456" t="s">
        <v>19</v>
      </c>
      <c r="K456">
        <v>57159.969999999972</v>
      </c>
      <c r="L456">
        <v>0.15372905712804433</v>
      </c>
    </row>
    <row r="457" spans="1:12" x14ac:dyDescent="0.35">
      <c r="A457" t="s">
        <v>1661</v>
      </c>
      <c r="B457" s="1">
        <v>46122</v>
      </c>
      <c r="C457" t="s">
        <v>12</v>
      </c>
      <c r="D457" t="s">
        <v>36</v>
      </c>
      <c r="E457" t="s">
        <v>14</v>
      </c>
      <c r="F457" t="s">
        <v>38</v>
      </c>
      <c r="G457">
        <v>111262.79</v>
      </c>
      <c r="H457">
        <v>56317.77</v>
      </c>
      <c r="I457" t="s">
        <v>18</v>
      </c>
      <c r="J457" t="s">
        <v>41</v>
      </c>
      <c r="K457">
        <v>54945.02</v>
      </c>
      <c r="L457">
        <v>0.49383104630038488</v>
      </c>
    </row>
    <row r="458" spans="1:12" x14ac:dyDescent="0.35">
      <c r="A458" t="s">
        <v>1664</v>
      </c>
      <c r="B458" s="1">
        <v>46180</v>
      </c>
      <c r="C458" t="s">
        <v>12</v>
      </c>
      <c r="D458" t="s">
        <v>36</v>
      </c>
      <c r="E458" t="s">
        <v>24</v>
      </c>
      <c r="F458" t="s">
        <v>25</v>
      </c>
      <c r="G458">
        <v>377162.75</v>
      </c>
      <c r="H458">
        <v>324218.58</v>
      </c>
      <c r="I458" t="s">
        <v>32</v>
      </c>
      <c r="J458" t="s">
        <v>19</v>
      </c>
      <c r="K458">
        <v>52944.169999999984</v>
      </c>
      <c r="L458">
        <v>0.14037486469700411</v>
      </c>
    </row>
    <row r="459" spans="1:12" x14ac:dyDescent="0.35">
      <c r="A459" t="s">
        <v>1667</v>
      </c>
      <c r="B459" s="1">
        <v>46141</v>
      </c>
      <c r="C459" t="s">
        <v>3383</v>
      </c>
      <c r="D459" t="s">
        <v>53</v>
      </c>
      <c r="E459" t="s">
        <v>45</v>
      </c>
      <c r="F459" t="s">
        <v>15</v>
      </c>
      <c r="G459">
        <v>181962.06</v>
      </c>
      <c r="H459">
        <v>91222.61</v>
      </c>
      <c r="I459" t="s">
        <v>18</v>
      </c>
      <c r="J459" t="s">
        <v>19</v>
      </c>
      <c r="K459">
        <v>90739.45</v>
      </c>
      <c r="L459">
        <v>0.49867236060088571</v>
      </c>
    </row>
    <row r="460" spans="1:12" x14ac:dyDescent="0.35">
      <c r="A460" t="s">
        <v>1670</v>
      </c>
      <c r="B460" s="1">
        <v>46068</v>
      </c>
      <c r="C460" t="s">
        <v>3383</v>
      </c>
      <c r="D460" t="s">
        <v>23</v>
      </c>
      <c r="E460" t="s">
        <v>24</v>
      </c>
      <c r="F460" t="s">
        <v>74</v>
      </c>
      <c r="G460">
        <v>116228.01</v>
      </c>
      <c r="H460">
        <v>71357.36</v>
      </c>
      <c r="I460" t="s">
        <v>49</v>
      </c>
      <c r="J460" t="s">
        <v>41</v>
      </c>
      <c r="K460">
        <v>44870.649999999994</v>
      </c>
      <c r="L460">
        <v>0.38605711308315438</v>
      </c>
    </row>
    <row r="461" spans="1:12" x14ac:dyDescent="0.35">
      <c r="A461" t="s">
        <v>1673</v>
      </c>
      <c r="B461" s="1">
        <v>46197</v>
      </c>
      <c r="C461" t="s">
        <v>12</v>
      </c>
      <c r="D461" t="s">
        <v>36</v>
      </c>
      <c r="E461" t="s">
        <v>109</v>
      </c>
      <c r="F461" t="s">
        <v>15</v>
      </c>
      <c r="G461">
        <v>90409.59</v>
      </c>
      <c r="H461">
        <v>62030.69</v>
      </c>
      <c r="I461" t="s">
        <v>49</v>
      </c>
      <c r="J461" t="s">
        <v>19</v>
      </c>
      <c r="K461">
        <v>28378.899999999994</v>
      </c>
      <c r="L461">
        <v>0.31389258595244152</v>
      </c>
    </row>
    <row r="462" spans="1:12" x14ac:dyDescent="0.35">
      <c r="A462" t="s">
        <v>1676</v>
      </c>
      <c r="B462" s="1">
        <v>46104</v>
      </c>
      <c r="C462" t="s">
        <v>52</v>
      </c>
      <c r="D462" t="s">
        <v>36</v>
      </c>
      <c r="E462" t="s">
        <v>24</v>
      </c>
      <c r="F462" t="s">
        <v>15</v>
      </c>
      <c r="G462">
        <v>99674.46</v>
      </c>
      <c r="H462">
        <v>74276.899999999994</v>
      </c>
      <c r="I462" t="s">
        <v>32</v>
      </c>
      <c r="J462" t="s">
        <v>41</v>
      </c>
      <c r="K462">
        <v>25397.560000000012</v>
      </c>
      <c r="L462">
        <v>0.2548050924981185</v>
      </c>
    </row>
    <row r="463" spans="1:12" x14ac:dyDescent="0.35">
      <c r="A463" t="s">
        <v>1679</v>
      </c>
      <c r="B463" s="1">
        <v>46182</v>
      </c>
      <c r="C463" t="s">
        <v>52</v>
      </c>
      <c r="D463" t="s">
        <v>36</v>
      </c>
      <c r="E463" t="s">
        <v>24</v>
      </c>
      <c r="F463" t="s">
        <v>46</v>
      </c>
      <c r="G463">
        <v>297438.51</v>
      </c>
      <c r="H463">
        <v>131034.51</v>
      </c>
      <c r="I463" t="s">
        <v>18</v>
      </c>
      <c r="J463" t="s">
        <v>41</v>
      </c>
      <c r="K463">
        <v>166404</v>
      </c>
      <c r="L463">
        <v>0.55945681008151904</v>
      </c>
    </row>
    <row r="464" spans="1:12" x14ac:dyDescent="0.35">
      <c r="A464" t="s">
        <v>1682</v>
      </c>
      <c r="B464" s="1">
        <v>46090</v>
      </c>
      <c r="C464" t="s">
        <v>99</v>
      </c>
      <c r="D464" t="s">
        <v>36</v>
      </c>
      <c r="E464" t="s">
        <v>109</v>
      </c>
      <c r="F464" t="s">
        <v>15</v>
      </c>
      <c r="G464">
        <v>216614.15</v>
      </c>
      <c r="H464">
        <v>102698.78</v>
      </c>
      <c r="I464" t="s">
        <v>18</v>
      </c>
      <c r="J464" t="s">
        <v>19</v>
      </c>
      <c r="K464">
        <v>113915.37</v>
      </c>
      <c r="L464">
        <v>0.52589071397228671</v>
      </c>
    </row>
    <row r="465" spans="1:12" x14ac:dyDescent="0.35">
      <c r="A465" t="s">
        <v>1685</v>
      </c>
      <c r="B465" s="1">
        <v>46040</v>
      </c>
      <c r="C465" t="s">
        <v>3383</v>
      </c>
      <c r="D465" t="s">
        <v>36</v>
      </c>
      <c r="E465" t="s">
        <v>14</v>
      </c>
      <c r="F465" t="s">
        <v>15</v>
      </c>
      <c r="G465">
        <v>261847.78</v>
      </c>
      <c r="H465">
        <v>113541.07</v>
      </c>
      <c r="I465" t="s">
        <v>32</v>
      </c>
      <c r="J465" t="s">
        <v>41</v>
      </c>
      <c r="K465">
        <v>148306.71</v>
      </c>
      <c r="L465">
        <v>0.56638521052192992</v>
      </c>
    </row>
    <row r="466" spans="1:12" x14ac:dyDescent="0.35">
      <c r="A466" t="s">
        <v>1689</v>
      </c>
      <c r="B466" s="1">
        <v>46039</v>
      </c>
      <c r="C466" t="s">
        <v>99</v>
      </c>
      <c r="D466" t="s">
        <v>53</v>
      </c>
      <c r="E466" t="s">
        <v>24</v>
      </c>
      <c r="F466" t="s">
        <v>25</v>
      </c>
      <c r="G466">
        <v>300046.25</v>
      </c>
      <c r="H466">
        <v>255782.96</v>
      </c>
      <c r="I466" t="s">
        <v>18</v>
      </c>
      <c r="J466" t="s">
        <v>41</v>
      </c>
      <c r="K466">
        <v>44263.290000000008</v>
      </c>
      <c r="L466">
        <v>0.14752155709328149</v>
      </c>
    </row>
    <row r="467" spans="1:12" x14ac:dyDescent="0.35">
      <c r="A467" t="s">
        <v>1692</v>
      </c>
      <c r="B467" s="1">
        <v>46117</v>
      </c>
      <c r="C467" t="s">
        <v>67</v>
      </c>
      <c r="D467" t="s">
        <v>23</v>
      </c>
      <c r="E467" t="s">
        <v>109</v>
      </c>
      <c r="F467" t="s">
        <v>38</v>
      </c>
      <c r="G467">
        <v>142562.43</v>
      </c>
      <c r="H467">
        <v>68685.919999999998</v>
      </c>
      <c r="I467" t="s">
        <v>18</v>
      </c>
      <c r="J467" t="s">
        <v>19</v>
      </c>
      <c r="K467">
        <v>73876.509999999995</v>
      </c>
      <c r="L467">
        <v>0.51820462095097564</v>
      </c>
    </row>
    <row r="468" spans="1:12" x14ac:dyDescent="0.35">
      <c r="A468" t="s">
        <v>1696</v>
      </c>
      <c r="B468" s="1">
        <v>46163</v>
      </c>
      <c r="C468" t="s">
        <v>12</v>
      </c>
      <c r="D468" t="s">
        <v>36</v>
      </c>
      <c r="E468" t="s">
        <v>109</v>
      </c>
      <c r="F468" t="s">
        <v>79</v>
      </c>
      <c r="G468">
        <v>416842.5</v>
      </c>
      <c r="H468">
        <v>365322.23999999999</v>
      </c>
      <c r="I468" t="s">
        <v>18</v>
      </c>
      <c r="J468" t="s">
        <v>41</v>
      </c>
      <c r="K468">
        <v>51520.260000000009</v>
      </c>
      <c r="L468">
        <v>0.12359646629122513</v>
      </c>
    </row>
    <row r="469" spans="1:12" x14ac:dyDescent="0.35">
      <c r="A469" t="s">
        <v>1699</v>
      </c>
      <c r="B469" s="1">
        <v>46165</v>
      </c>
      <c r="C469" t="s">
        <v>99</v>
      </c>
      <c r="D469" t="s">
        <v>36</v>
      </c>
      <c r="E469" t="s">
        <v>134</v>
      </c>
      <c r="F469" t="s">
        <v>46</v>
      </c>
      <c r="G469">
        <v>314968.63</v>
      </c>
      <c r="H469">
        <v>143480.07</v>
      </c>
      <c r="I469" t="s">
        <v>32</v>
      </c>
      <c r="J469" t="s">
        <v>41</v>
      </c>
      <c r="K469">
        <v>171488.56</v>
      </c>
      <c r="L469">
        <v>0.54446234852023201</v>
      </c>
    </row>
    <row r="470" spans="1:12" x14ac:dyDescent="0.35">
      <c r="A470" t="s">
        <v>1702</v>
      </c>
      <c r="B470" s="1">
        <v>46111</v>
      </c>
      <c r="C470" t="s">
        <v>12</v>
      </c>
      <c r="D470" t="s">
        <v>53</v>
      </c>
      <c r="E470" t="s">
        <v>109</v>
      </c>
      <c r="F470" t="s">
        <v>15</v>
      </c>
      <c r="G470">
        <v>401583.6</v>
      </c>
      <c r="H470">
        <v>381453.59</v>
      </c>
      <c r="I470" t="s">
        <v>49</v>
      </c>
      <c r="J470" t="s">
        <v>41</v>
      </c>
      <c r="K470">
        <v>20130.009999999951</v>
      </c>
      <c r="L470">
        <v>5.0126573893953717E-2</v>
      </c>
    </row>
    <row r="471" spans="1:12" x14ac:dyDescent="0.35">
      <c r="A471" t="s">
        <v>1705</v>
      </c>
      <c r="B471" s="1">
        <v>46103</v>
      </c>
      <c r="C471" t="s">
        <v>52</v>
      </c>
      <c r="D471" t="s">
        <v>53</v>
      </c>
      <c r="E471" t="s">
        <v>109</v>
      </c>
      <c r="F471" t="s">
        <v>46</v>
      </c>
      <c r="G471">
        <v>197663.66</v>
      </c>
      <c r="H471">
        <v>125151.19</v>
      </c>
      <c r="I471" t="s">
        <v>32</v>
      </c>
      <c r="J471" t="s">
        <v>19</v>
      </c>
      <c r="K471">
        <v>72512.47</v>
      </c>
      <c r="L471">
        <v>0.3668477554245429</v>
      </c>
    </row>
    <row r="472" spans="1:12" x14ac:dyDescent="0.35">
      <c r="A472" t="s">
        <v>1708</v>
      </c>
      <c r="B472" s="1">
        <v>46139</v>
      </c>
      <c r="C472" t="s">
        <v>67</v>
      </c>
      <c r="D472" t="s">
        <v>36</v>
      </c>
      <c r="E472" t="s">
        <v>24</v>
      </c>
      <c r="F472" t="s">
        <v>38</v>
      </c>
      <c r="G472">
        <v>329734.48</v>
      </c>
      <c r="H472">
        <v>307870.82</v>
      </c>
      <c r="I472" t="s">
        <v>18</v>
      </c>
      <c r="J472" t="s">
        <v>41</v>
      </c>
      <c r="K472">
        <v>21863.659999999974</v>
      </c>
      <c r="L472">
        <v>6.6306866057804975E-2</v>
      </c>
    </row>
    <row r="473" spans="1:12" x14ac:dyDescent="0.35">
      <c r="A473" t="s">
        <v>1711</v>
      </c>
      <c r="B473" s="1">
        <v>46189</v>
      </c>
      <c r="C473" t="s">
        <v>12</v>
      </c>
      <c r="D473" t="s">
        <v>36</v>
      </c>
      <c r="E473" t="s">
        <v>45</v>
      </c>
      <c r="F473" t="s">
        <v>74</v>
      </c>
      <c r="G473">
        <v>232569.43</v>
      </c>
      <c r="H473">
        <v>106791.67999999999</v>
      </c>
      <c r="I473" t="s">
        <v>18</v>
      </c>
      <c r="J473" t="s">
        <v>41</v>
      </c>
      <c r="K473">
        <v>125777.75</v>
      </c>
      <c r="L473">
        <v>0.54081806882357675</v>
      </c>
    </row>
    <row r="474" spans="1:12" x14ac:dyDescent="0.35">
      <c r="A474" t="s">
        <v>1715</v>
      </c>
      <c r="B474" s="1">
        <v>46160</v>
      </c>
      <c r="C474" t="s">
        <v>99</v>
      </c>
      <c r="D474" t="s">
        <v>23</v>
      </c>
      <c r="E474" t="s">
        <v>109</v>
      </c>
      <c r="F474" t="s">
        <v>46</v>
      </c>
      <c r="G474">
        <v>351866.36</v>
      </c>
      <c r="H474">
        <v>308495.83</v>
      </c>
      <c r="I474" t="s">
        <v>18</v>
      </c>
      <c r="J474" t="s">
        <v>19</v>
      </c>
      <c r="K474">
        <v>43370.52999999997</v>
      </c>
      <c r="L474">
        <v>0.123258529175679</v>
      </c>
    </row>
    <row r="475" spans="1:12" x14ac:dyDescent="0.35">
      <c r="A475" t="s">
        <v>1718</v>
      </c>
      <c r="B475" s="1">
        <v>46169</v>
      </c>
      <c r="C475" t="s">
        <v>52</v>
      </c>
      <c r="D475" t="s">
        <v>36</v>
      </c>
      <c r="E475" t="s">
        <v>37</v>
      </c>
      <c r="F475" t="s">
        <v>74</v>
      </c>
      <c r="G475">
        <v>457413.51</v>
      </c>
      <c r="H475">
        <v>332411.59999999998</v>
      </c>
      <c r="I475" t="s">
        <v>32</v>
      </c>
      <c r="J475" t="s">
        <v>41</v>
      </c>
      <c r="K475">
        <v>125001.91000000003</v>
      </c>
      <c r="L475">
        <v>0.27327988191691155</v>
      </c>
    </row>
    <row r="476" spans="1:12" x14ac:dyDescent="0.35">
      <c r="A476" t="s">
        <v>1721</v>
      </c>
      <c r="B476" s="1">
        <v>46194</v>
      </c>
      <c r="C476" t="s">
        <v>3383</v>
      </c>
      <c r="D476" t="s">
        <v>36</v>
      </c>
      <c r="E476" t="s">
        <v>37</v>
      </c>
      <c r="F476" t="s">
        <v>74</v>
      </c>
      <c r="G476">
        <v>446977.54</v>
      </c>
      <c r="H476">
        <v>206534.96</v>
      </c>
      <c r="I476" t="s">
        <v>49</v>
      </c>
      <c r="J476" t="s">
        <v>19</v>
      </c>
      <c r="K476">
        <v>240442.58</v>
      </c>
      <c r="L476">
        <v>0.53792989240577949</v>
      </c>
    </row>
    <row r="477" spans="1:12" x14ac:dyDescent="0.35">
      <c r="A477" t="s">
        <v>1724</v>
      </c>
      <c r="B477" s="1">
        <v>46173</v>
      </c>
      <c r="C477" t="s">
        <v>12</v>
      </c>
      <c r="D477" t="s">
        <v>23</v>
      </c>
      <c r="E477" t="s">
        <v>45</v>
      </c>
      <c r="F477" t="s">
        <v>38</v>
      </c>
      <c r="G477">
        <v>399539.65</v>
      </c>
      <c r="H477">
        <v>257815.79</v>
      </c>
      <c r="I477" t="s">
        <v>18</v>
      </c>
      <c r="J477" t="s">
        <v>41</v>
      </c>
      <c r="K477">
        <v>141723.86000000002</v>
      </c>
      <c r="L477">
        <v>0.35471788594698928</v>
      </c>
    </row>
    <row r="478" spans="1:12" x14ac:dyDescent="0.35">
      <c r="A478" t="s">
        <v>1728</v>
      </c>
      <c r="B478" s="1">
        <v>46201</v>
      </c>
      <c r="C478" t="s">
        <v>12</v>
      </c>
      <c r="D478" t="s">
        <v>36</v>
      </c>
      <c r="E478" t="s">
        <v>45</v>
      </c>
      <c r="F478" t="s">
        <v>46</v>
      </c>
      <c r="G478">
        <v>149774.79999999999</v>
      </c>
      <c r="H478">
        <v>75823.81</v>
      </c>
      <c r="I478" t="s">
        <v>32</v>
      </c>
      <c r="J478" t="s">
        <v>19</v>
      </c>
      <c r="K478">
        <v>73950.989999999991</v>
      </c>
      <c r="L478">
        <v>0.49374788015073295</v>
      </c>
    </row>
    <row r="479" spans="1:12" x14ac:dyDescent="0.35">
      <c r="A479" t="s">
        <v>1731</v>
      </c>
      <c r="B479" s="1">
        <v>46169</v>
      </c>
      <c r="C479" t="s">
        <v>99</v>
      </c>
      <c r="D479" t="s">
        <v>36</v>
      </c>
      <c r="E479" t="s">
        <v>37</v>
      </c>
      <c r="F479" t="s">
        <v>15</v>
      </c>
      <c r="G479">
        <v>283416.56</v>
      </c>
      <c r="H479">
        <v>117484.78</v>
      </c>
      <c r="I479" t="s">
        <v>32</v>
      </c>
      <c r="J479" t="s">
        <v>41</v>
      </c>
      <c r="K479">
        <v>165931.78</v>
      </c>
      <c r="L479">
        <v>0.5854695999415136</v>
      </c>
    </row>
    <row r="480" spans="1:12" x14ac:dyDescent="0.35">
      <c r="A480" t="s">
        <v>1734</v>
      </c>
      <c r="B480" s="1">
        <v>46065</v>
      </c>
      <c r="C480" t="s">
        <v>52</v>
      </c>
      <c r="D480" t="s">
        <v>23</v>
      </c>
      <c r="E480" t="s">
        <v>37</v>
      </c>
      <c r="F480" t="s">
        <v>25</v>
      </c>
      <c r="G480">
        <v>271942.40000000002</v>
      </c>
      <c r="H480">
        <v>251048.58</v>
      </c>
      <c r="I480" t="s">
        <v>32</v>
      </c>
      <c r="J480" t="s">
        <v>19</v>
      </c>
      <c r="K480">
        <v>20893.820000000036</v>
      </c>
      <c r="L480">
        <v>7.6831784966228264E-2</v>
      </c>
    </row>
    <row r="481" spans="1:12" x14ac:dyDescent="0.35">
      <c r="A481" t="s">
        <v>1738</v>
      </c>
      <c r="B481" s="1">
        <v>46077</v>
      </c>
      <c r="C481" t="s">
        <v>3383</v>
      </c>
      <c r="D481" t="s">
        <v>53</v>
      </c>
      <c r="E481" t="s">
        <v>37</v>
      </c>
      <c r="F481" t="s">
        <v>79</v>
      </c>
      <c r="G481">
        <v>248142.45</v>
      </c>
      <c r="H481">
        <v>142695.12</v>
      </c>
      <c r="I481" t="s">
        <v>18</v>
      </c>
      <c r="J481" t="s">
        <v>41</v>
      </c>
      <c r="K481">
        <v>105447.33000000002</v>
      </c>
      <c r="L481">
        <v>0.42494675941178145</v>
      </c>
    </row>
    <row r="482" spans="1:12" x14ac:dyDescent="0.35">
      <c r="A482" t="s">
        <v>1742</v>
      </c>
      <c r="B482" s="1">
        <v>46198</v>
      </c>
      <c r="C482" t="s">
        <v>67</v>
      </c>
      <c r="D482" t="s">
        <v>53</v>
      </c>
      <c r="E482" t="s">
        <v>45</v>
      </c>
      <c r="F482" t="s">
        <v>46</v>
      </c>
      <c r="G482">
        <v>434944.49</v>
      </c>
      <c r="H482">
        <v>276433.25</v>
      </c>
      <c r="I482" t="s">
        <v>32</v>
      </c>
      <c r="J482" t="s">
        <v>41</v>
      </c>
      <c r="K482">
        <v>158511.24</v>
      </c>
      <c r="L482">
        <v>0.36444016108814253</v>
      </c>
    </row>
    <row r="483" spans="1:12" x14ac:dyDescent="0.35">
      <c r="A483" t="s">
        <v>1746</v>
      </c>
      <c r="B483" s="1">
        <v>46132</v>
      </c>
      <c r="C483" t="s">
        <v>99</v>
      </c>
      <c r="D483" t="s">
        <v>36</v>
      </c>
      <c r="E483" t="s">
        <v>109</v>
      </c>
      <c r="F483" t="s">
        <v>25</v>
      </c>
      <c r="G483">
        <v>156476.6</v>
      </c>
      <c r="H483">
        <v>121080.42</v>
      </c>
      <c r="I483" t="s">
        <v>49</v>
      </c>
      <c r="J483" t="s">
        <v>41</v>
      </c>
      <c r="K483">
        <v>35396.180000000008</v>
      </c>
      <c r="L483">
        <v>0.22620749683978311</v>
      </c>
    </row>
    <row r="484" spans="1:12" x14ac:dyDescent="0.35">
      <c r="A484" t="s">
        <v>1749</v>
      </c>
      <c r="B484" s="1">
        <v>46149</v>
      </c>
      <c r="C484" t="s">
        <v>99</v>
      </c>
      <c r="D484" t="s">
        <v>23</v>
      </c>
      <c r="E484" t="s">
        <v>24</v>
      </c>
      <c r="F484" t="s">
        <v>25</v>
      </c>
      <c r="G484">
        <v>224146.21</v>
      </c>
      <c r="H484">
        <v>157830.87</v>
      </c>
      <c r="I484" t="s">
        <v>32</v>
      </c>
      <c r="J484" t="s">
        <v>19</v>
      </c>
      <c r="K484">
        <v>66315.34</v>
      </c>
      <c r="L484">
        <v>0.29585751193383997</v>
      </c>
    </row>
    <row r="485" spans="1:12" x14ac:dyDescent="0.35">
      <c r="A485" t="s">
        <v>1752</v>
      </c>
      <c r="B485" s="1">
        <v>46037</v>
      </c>
      <c r="C485" t="s">
        <v>99</v>
      </c>
      <c r="D485" t="s">
        <v>36</v>
      </c>
      <c r="E485" t="s">
        <v>37</v>
      </c>
      <c r="F485" t="s">
        <v>74</v>
      </c>
      <c r="G485">
        <v>265330.65999999997</v>
      </c>
      <c r="H485">
        <v>248081.48</v>
      </c>
      <c r="I485" t="s">
        <v>18</v>
      </c>
      <c r="J485" t="s">
        <v>19</v>
      </c>
      <c r="K485">
        <v>17249.179999999964</v>
      </c>
      <c r="L485">
        <v>6.5010127363343412E-2</v>
      </c>
    </row>
    <row r="486" spans="1:12" x14ac:dyDescent="0.35">
      <c r="A486" t="s">
        <v>1756</v>
      </c>
      <c r="B486" s="1">
        <v>46023</v>
      </c>
      <c r="C486" t="s">
        <v>12</v>
      </c>
      <c r="D486" t="s">
        <v>36</v>
      </c>
      <c r="E486" t="s">
        <v>45</v>
      </c>
      <c r="F486" t="s">
        <v>79</v>
      </c>
      <c r="G486">
        <v>389349.2</v>
      </c>
      <c r="H486">
        <v>302843.61</v>
      </c>
      <c r="I486" t="s">
        <v>49</v>
      </c>
      <c r="J486" t="s">
        <v>41</v>
      </c>
      <c r="K486">
        <v>86505.590000000026</v>
      </c>
      <c r="L486">
        <v>0.22217996081666541</v>
      </c>
    </row>
    <row r="487" spans="1:12" x14ac:dyDescent="0.35">
      <c r="A487" t="s">
        <v>1759</v>
      </c>
      <c r="B487" s="1">
        <v>46085</v>
      </c>
      <c r="C487" t="s">
        <v>3383</v>
      </c>
      <c r="D487" t="s">
        <v>36</v>
      </c>
      <c r="E487" t="s">
        <v>14</v>
      </c>
      <c r="F487" t="s">
        <v>38</v>
      </c>
      <c r="G487">
        <v>255710.73</v>
      </c>
      <c r="H487">
        <v>223200.83</v>
      </c>
      <c r="I487" t="s">
        <v>32</v>
      </c>
      <c r="J487" t="s">
        <v>19</v>
      </c>
      <c r="K487">
        <v>32509.900000000023</v>
      </c>
      <c r="L487">
        <v>0.12713545497289075</v>
      </c>
    </row>
    <row r="488" spans="1:12" x14ac:dyDescent="0.35">
      <c r="A488" t="s">
        <v>1762</v>
      </c>
      <c r="B488" s="1">
        <v>46146</v>
      </c>
      <c r="C488" t="s">
        <v>99</v>
      </c>
      <c r="D488" t="s">
        <v>23</v>
      </c>
      <c r="E488" t="s">
        <v>37</v>
      </c>
      <c r="F488" t="s">
        <v>15</v>
      </c>
      <c r="G488">
        <v>299907.15999999997</v>
      </c>
      <c r="H488">
        <v>171499.38</v>
      </c>
      <c r="I488" t="s">
        <v>18</v>
      </c>
      <c r="J488" t="s">
        <v>19</v>
      </c>
      <c r="K488">
        <v>128407.77999999997</v>
      </c>
      <c r="L488">
        <v>0.42815843409673843</v>
      </c>
    </row>
    <row r="489" spans="1:12" x14ac:dyDescent="0.35">
      <c r="A489" t="s">
        <v>1765</v>
      </c>
      <c r="B489" s="1">
        <v>46112</v>
      </c>
      <c r="C489" t="s">
        <v>12</v>
      </c>
      <c r="D489" t="s">
        <v>23</v>
      </c>
      <c r="E489" t="s">
        <v>14</v>
      </c>
      <c r="F489" t="s">
        <v>79</v>
      </c>
      <c r="G489">
        <v>76048.44</v>
      </c>
      <c r="H489">
        <v>44410.3</v>
      </c>
      <c r="I489" t="s">
        <v>32</v>
      </c>
      <c r="J489" t="s">
        <v>19</v>
      </c>
      <c r="K489">
        <v>31638.14</v>
      </c>
      <c r="L489">
        <v>0.41602615385667346</v>
      </c>
    </row>
    <row r="490" spans="1:12" x14ac:dyDescent="0.35">
      <c r="A490" t="s">
        <v>1768</v>
      </c>
      <c r="B490" s="1">
        <v>46113</v>
      </c>
      <c r="C490" t="s">
        <v>99</v>
      </c>
      <c r="D490" t="s">
        <v>23</v>
      </c>
      <c r="E490" t="s">
        <v>134</v>
      </c>
      <c r="F490" t="s">
        <v>15</v>
      </c>
      <c r="G490">
        <v>438078.96</v>
      </c>
      <c r="H490">
        <v>365188.06</v>
      </c>
      <c r="I490" t="s">
        <v>32</v>
      </c>
      <c r="J490" t="s">
        <v>41</v>
      </c>
      <c r="K490">
        <v>72890.900000000023</v>
      </c>
      <c r="L490">
        <v>0.16638758455781583</v>
      </c>
    </row>
    <row r="491" spans="1:12" x14ac:dyDescent="0.35">
      <c r="A491" t="s">
        <v>1771</v>
      </c>
      <c r="B491" s="1">
        <v>46115</v>
      </c>
      <c r="C491" t="s">
        <v>12</v>
      </c>
      <c r="D491" t="s">
        <v>23</v>
      </c>
      <c r="E491" t="s">
        <v>37</v>
      </c>
      <c r="F491" t="s">
        <v>46</v>
      </c>
      <c r="G491">
        <v>89989.34</v>
      </c>
      <c r="H491">
        <v>52059.7</v>
      </c>
      <c r="I491" t="s">
        <v>18</v>
      </c>
      <c r="J491" t="s">
        <v>41</v>
      </c>
      <c r="K491">
        <v>37929.64</v>
      </c>
      <c r="L491">
        <v>0.42149036763687792</v>
      </c>
    </row>
    <row r="492" spans="1:12" x14ac:dyDescent="0.35">
      <c r="A492" t="s">
        <v>1774</v>
      </c>
      <c r="B492" s="1">
        <v>46154</v>
      </c>
      <c r="C492" t="s">
        <v>12</v>
      </c>
      <c r="D492" t="s">
        <v>36</v>
      </c>
      <c r="E492" t="s">
        <v>134</v>
      </c>
      <c r="F492" t="s">
        <v>25</v>
      </c>
      <c r="G492">
        <v>236714.68</v>
      </c>
      <c r="H492">
        <v>187025.98</v>
      </c>
      <c r="I492" t="s">
        <v>49</v>
      </c>
      <c r="J492" t="s">
        <v>19</v>
      </c>
      <c r="K492">
        <v>49688.699999999983</v>
      </c>
      <c r="L492">
        <v>0.20990966846669579</v>
      </c>
    </row>
    <row r="493" spans="1:12" x14ac:dyDescent="0.35">
      <c r="A493" t="s">
        <v>1777</v>
      </c>
      <c r="B493" s="1">
        <v>46176</v>
      </c>
      <c r="C493" t="s">
        <v>3383</v>
      </c>
      <c r="D493" t="s">
        <v>23</v>
      </c>
      <c r="E493" t="s">
        <v>24</v>
      </c>
      <c r="F493" t="s">
        <v>15</v>
      </c>
      <c r="G493">
        <v>311364.67</v>
      </c>
      <c r="H493">
        <v>271427.84000000003</v>
      </c>
      <c r="I493" t="s">
        <v>18</v>
      </c>
      <c r="J493" t="s">
        <v>19</v>
      </c>
      <c r="K493">
        <v>39936.829999999958</v>
      </c>
      <c r="L493">
        <v>0.12826384573432806</v>
      </c>
    </row>
    <row r="494" spans="1:12" x14ac:dyDescent="0.35">
      <c r="A494" t="s">
        <v>1780</v>
      </c>
      <c r="B494" s="1">
        <v>46043</v>
      </c>
      <c r="C494" t="s">
        <v>52</v>
      </c>
      <c r="D494" t="s">
        <v>23</v>
      </c>
      <c r="E494" t="s">
        <v>14</v>
      </c>
      <c r="F494" t="s">
        <v>25</v>
      </c>
      <c r="G494">
        <v>349928.91</v>
      </c>
      <c r="H494">
        <v>276954.01</v>
      </c>
      <c r="I494" t="s">
        <v>32</v>
      </c>
      <c r="J494" t="s">
        <v>19</v>
      </c>
      <c r="K494">
        <v>72974.899999999965</v>
      </c>
      <c r="L494">
        <v>0.2085420721597423</v>
      </c>
    </row>
    <row r="495" spans="1:12" x14ac:dyDescent="0.35">
      <c r="A495" t="s">
        <v>1784</v>
      </c>
      <c r="B495" s="1">
        <v>46060</v>
      </c>
      <c r="C495" t="s">
        <v>52</v>
      </c>
      <c r="D495" t="s">
        <v>23</v>
      </c>
      <c r="E495" t="s">
        <v>109</v>
      </c>
      <c r="F495" t="s">
        <v>79</v>
      </c>
      <c r="G495">
        <v>143914.76</v>
      </c>
      <c r="H495">
        <v>67177.3</v>
      </c>
      <c r="I495" t="s">
        <v>18</v>
      </c>
      <c r="J495" t="s">
        <v>41</v>
      </c>
      <c r="K495">
        <v>76737.460000000006</v>
      </c>
      <c r="L495">
        <v>0.5332146612341917</v>
      </c>
    </row>
    <row r="496" spans="1:12" x14ac:dyDescent="0.35">
      <c r="A496" t="s">
        <v>1787</v>
      </c>
      <c r="B496" s="1">
        <v>46039</v>
      </c>
      <c r="C496" t="s">
        <v>99</v>
      </c>
      <c r="D496" t="s">
        <v>53</v>
      </c>
      <c r="E496" t="s">
        <v>37</v>
      </c>
      <c r="F496" t="s">
        <v>15</v>
      </c>
      <c r="G496">
        <v>178383.03</v>
      </c>
      <c r="H496">
        <v>86089.8</v>
      </c>
      <c r="I496" t="s">
        <v>18</v>
      </c>
      <c r="J496" t="s">
        <v>41</v>
      </c>
      <c r="K496">
        <v>92293.23</v>
      </c>
      <c r="L496">
        <v>0.5173879488424431</v>
      </c>
    </row>
    <row r="497" spans="1:12" x14ac:dyDescent="0.35">
      <c r="A497" t="s">
        <v>1791</v>
      </c>
      <c r="B497" s="1">
        <v>46079</v>
      </c>
      <c r="C497" t="s">
        <v>12</v>
      </c>
      <c r="D497" t="s">
        <v>53</v>
      </c>
      <c r="E497" t="s">
        <v>45</v>
      </c>
      <c r="F497" t="s">
        <v>74</v>
      </c>
      <c r="G497">
        <v>271077.99</v>
      </c>
      <c r="H497">
        <v>132497.28</v>
      </c>
      <c r="I497" t="s">
        <v>18</v>
      </c>
      <c r="J497" t="s">
        <v>19</v>
      </c>
      <c r="K497">
        <v>138580.71</v>
      </c>
      <c r="L497">
        <v>0.51122081139822528</v>
      </c>
    </row>
    <row r="498" spans="1:12" x14ac:dyDescent="0.35">
      <c r="A498" t="s">
        <v>1794</v>
      </c>
      <c r="B498" s="1">
        <v>46062</v>
      </c>
      <c r="C498" t="s">
        <v>3383</v>
      </c>
      <c r="D498" t="s">
        <v>53</v>
      </c>
      <c r="E498" t="s">
        <v>45</v>
      </c>
      <c r="F498" t="s">
        <v>15</v>
      </c>
      <c r="G498">
        <v>388523.74</v>
      </c>
      <c r="H498">
        <v>274686.40999999997</v>
      </c>
      <c r="I498" t="s">
        <v>18</v>
      </c>
      <c r="J498" t="s">
        <v>41</v>
      </c>
      <c r="K498">
        <v>113837.33000000002</v>
      </c>
      <c r="L498">
        <v>0.29299967615878508</v>
      </c>
    </row>
    <row r="499" spans="1:12" x14ac:dyDescent="0.35">
      <c r="A499" t="s">
        <v>1798</v>
      </c>
      <c r="B499" s="1">
        <v>46134</v>
      </c>
      <c r="C499" t="s">
        <v>3383</v>
      </c>
      <c r="D499" t="s">
        <v>36</v>
      </c>
      <c r="E499" t="s">
        <v>45</v>
      </c>
      <c r="F499" t="s">
        <v>38</v>
      </c>
      <c r="G499">
        <v>279105.87</v>
      </c>
      <c r="H499">
        <v>113676.34</v>
      </c>
      <c r="I499" t="s">
        <v>32</v>
      </c>
      <c r="J499" t="s">
        <v>41</v>
      </c>
      <c r="K499">
        <v>165429.53</v>
      </c>
      <c r="L499">
        <v>0.59271247143601813</v>
      </c>
    </row>
    <row r="500" spans="1:12" x14ac:dyDescent="0.35">
      <c r="A500" t="s">
        <v>1801</v>
      </c>
      <c r="B500" s="1">
        <v>46075</v>
      </c>
      <c r="C500" t="s">
        <v>67</v>
      </c>
      <c r="D500" t="s">
        <v>36</v>
      </c>
      <c r="E500" t="s">
        <v>14</v>
      </c>
      <c r="F500" t="s">
        <v>46</v>
      </c>
      <c r="G500">
        <v>388046.07</v>
      </c>
      <c r="H500">
        <v>310056.52</v>
      </c>
      <c r="I500" t="s">
        <v>49</v>
      </c>
      <c r="J500" t="s">
        <v>19</v>
      </c>
      <c r="K500">
        <v>77989.549999999988</v>
      </c>
      <c r="L500">
        <v>0.20098013104474938</v>
      </c>
    </row>
    <row r="501" spans="1:12" x14ac:dyDescent="0.35">
      <c r="A501" t="s">
        <v>1804</v>
      </c>
      <c r="B501" s="1">
        <v>46030</v>
      </c>
      <c r="C501" t="s">
        <v>67</v>
      </c>
      <c r="D501" t="s">
        <v>23</v>
      </c>
      <c r="E501" t="s">
        <v>14</v>
      </c>
      <c r="F501" t="s">
        <v>38</v>
      </c>
      <c r="G501">
        <v>180581.44</v>
      </c>
      <c r="H501">
        <v>169519.3</v>
      </c>
      <c r="I501" t="s">
        <v>18</v>
      </c>
      <c r="J501" t="s">
        <v>19</v>
      </c>
      <c r="K501">
        <v>11062.140000000014</v>
      </c>
      <c r="L501">
        <v>6.1258454910980961E-2</v>
      </c>
    </row>
    <row r="502" spans="1:12" x14ac:dyDescent="0.35">
      <c r="A502" t="s">
        <v>1807</v>
      </c>
      <c r="B502" s="1">
        <v>46033</v>
      </c>
      <c r="C502" t="s">
        <v>12</v>
      </c>
      <c r="D502" t="s">
        <v>23</v>
      </c>
      <c r="E502" t="s">
        <v>24</v>
      </c>
      <c r="F502" t="s">
        <v>79</v>
      </c>
      <c r="G502">
        <v>56515.15</v>
      </c>
      <c r="H502">
        <v>41068.78</v>
      </c>
      <c r="I502" t="s">
        <v>49</v>
      </c>
      <c r="J502" t="s">
        <v>19</v>
      </c>
      <c r="K502">
        <v>15446.370000000003</v>
      </c>
      <c r="L502">
        <v>0.27331379285023577</v>
      </c>
    </row>
    <row r="503" spans="1:12" x14ac:dyDescent="0.35">
      <c r="A503" t="s">
        <v>1810</v>
      </c>
      <c r="B503" s="1">
        <v>46129</v>
      </c>
      <c r="C503" t="s">
        <v>67</v>
      </c>
      <c r="D503" t="s">
        <v>36</v>
      </c>
      <c r="E503" t="s">
        <v>109</v>
      </c>
      <c r="F503" t="s">
        <v>46</v>
      </c>
      <c r="G503">
        <v>298280.95</v>
      </c>
      <c r="H503">
        <v>160357.67000000001</v>
      </c>
      <c r="I503" t="s">
        <v>32</v>
      </c>
      <c r="J503" t="s">
        <v>19</v>
      </c>
      <c r="K503">
        <v>137923.28</v>
      </c>
      <c r="L503">
        <v>0.46239386055328036</v>
      </c>
    </row>
    <row r="504" spans="1:12" x14ac:dyDescent="0.35">
      <c r="A504" t="s">
        <v>1813</v>
      </c>
      <c r="B504" s="1">
        <v>46109</v>
      </c>
      <c r="C504" t="s">
        <v>12</v>
      </c>
      <c r="D504" t="s">
        <v>23</v>
      </c>
      <c r="E504" t="s">
        <v>24</v>
      </c>
      <c r="F504" t="s">
        <v>46</v>
      </c>
      <c r="G504">
        <v>188122.55</v>
      </c>
      <c r="H504">
        <v>128976.16</v>
      </c>
      <c r="I504" t="s">
        <v>49</v>
      </c>
      <c r="J504" t="s">
        <v>19</v>
      </c>
      <c r="K504">
        <v>59146.389999999985</v>
      </c>
      <c r="L504">
        <v>0.31440350983972942</v>
      </c>
    </row>
    <row r="505" spans="1:12" x14ac:dyDescent="0.35">
      <c r="A505" t="s">
        <v>1816</v>
      </c>
      <c r="B505" s="1">
        <v>46110</v>
      </c>
      <c r="C505" t="s">
        <v>12</v>
      </c>
      <c r="D505" t="s">
        <v>36</v>
      </c>
      <c r="E505" t="s">
        <v>14</v>
      </c>
      <c r="F505" t="s">
        <v>25</v>
      </c>
      <c r="G505">
        <v>115172.6</v>
      </c>
      <c r="H505">
        <v>76478.7</v>
      </c>
      <c r="I505" t="s">
        <v>49</v>
      </c>
      <c r="J505" t="s">
        <v>41</v>
      </c>
      <c r="K505">
        <v>38693.900000000009</v>
      </c>
      <c r="L505">
        <v>0.33596445682393217</v>
      </c>
    </row>
    <row r="506" spans="1:12" x14ac:dyDescent="0.35">
      <c r="A506" t="s">
        <v>1819</v>
      </c>
      <c r="B506" s="1">
        <v>46033</v>
      </c>
      <c r="C506" t="s">
        <v>12</v>
      </c>
      <c r="D506" t="s">
        <v>23</v>
      </c>
      <c r="E506" t="s">
        <v>134</v>
      </c>
      <c r="F506" t="s">
        <v>79</v>
      </c>
      <c r="G506">
        <v>369696.76</v>
      </c>
      <c r="H506">
        <v>173478.46</v>
      </c>
      <c r="I506" t="s">
        <v>18</v>
      </c>
      <c r="J506" t="s">
        <v>41</v>
      </c>
      <c r="K506">
        <v>196218.30000000002</v>
      </c>
      <c r="L506">
        <v>0.53075471908382432</v>
      </c>
    </row>
    <row r="507" spans="1:12" x14ac:dyDescent="0.35">
      <c r="A507" t="s">
        <v>1823</v>
      </c>
      <c r="B507" s="1">
        <v>46109</v>
      </c>
      <c r="C507" t="s">
        <v>3383</v>
      </c>
      <c r="D507" t="s">
        <v>53</v>
      </c>
      <c r="E507" t="s">
        <v>14</v>
      </c>
      <c r="F507" t="s">
        <v>38</v>
      </c>
      <c r="G507">
        <v>152916.82</v>
      </c>
      <c r="H507">
        <v>69396.02</v>
      </c>
      <c r="I507" t="s">
        <v>49</v>
      </c>
      <c r="J507" t="s">
        <v>41</v>
      </c>
      <c r="K507">
        <v>83520.800000000003</v>
      </c>
      <c r="L507">
        <v>0.5461845204471294</v>
      </c>
    </row>
    <row r="508" spans="1:12" x14ac:dyDescent="0.35">
      <c r="A508" t="s">
        <v>1826</v>
      </c>
      <c r="B508" s="1">
        <v>46121</v>
      </c>
      <c r="C508" t="s">
        <v>52</v>
      </c>
      <c r="D508" t="s">
        <v>23</v>
      </c>
      <c r="E508" t="s">
        <v>109</v>
      </c>
      <c r="F508" t="s">
        <v>15</v>
      </c>
      <c r="G508">
        <v>292105.19</v>
      </c>
      <c r="H508">
        <v>142461.31</v>
      </c>
      <c r="I508" t="s">
        <v>32</v>
      </c>
      <c r="J508" t="s">
        <v>41</v>
      </c>
      <c r="K508">
        <v>149643.88</v>
      </c>
      <c r="L508">
        <v>0.51229449226835033</v>
      </c>
    </row>
    <row r="509" spans="1:12" x14ac:dyDescent="0.35">
      <c r="A509" t="s">
        <v>1830</v>
      </c>
      <c r="B509" s="1">
        <v>46051</v>
      </c>
      <c r="C509" t="s">
        <v>67</v>
      </c>
      <c r="D509" t="s">
        <v>36</v>
      </c>
      <c r="E509" t="s">
        <v>14</v>
      </c>
      <c r="F509" t="s">
        <v>79</v>
      </c>
      <c r="G509">
        <v>271984.26</v>
      </c>
      <c r="H509">
        <v>257917.43</v>
      </c>
      <c r="I509" t="s">
        <v>18</v>
      </c>
      <c r="J509" t="s">
        <v>19</v>
      </c>
      <c r="K509">
        <v>14066.830000000016</v>
      </c>
      <c r="L509">
        <v>5.171927963772615E-2</v>
      </c>
    </row>
    <row r="510" spans="1:12" x14ac:dyDescent="0.35">
      <c r="A510" t="s">
        <v>1833</v>
      </c>
      <c r="B510" s="1">
        <v>46139</v>
      </c>
      <c r="C510" t="s">
        <v>67</v>
      </c>
      <c r="D510" t="s">
        <v>36</v>
      </c>
      <c r="E510" t="s">
        <v>45</v>
      </c>
      <c r="F510" t="s">
        <v>79</v>
      </c>
      <c r="G510">
        <v>499258.38</v>
      </c>
      <c r="H510">
        <v>361143.87</v>
      </c>
      <c r="I510" t="s">
        <v>49</v>
      </c>
      <c r="J510" t="s">
        <v>19</v>
      </c>
      <c r="K510">
        <v>138114.51</v>
      </c>
      <c r="L510">
        <v>0.2766393425384267</v>
      </c>
    </row>
    <row r="511" spans="1:12" x14ac:dyDescent="0.35">
      <c r="A511" t="s">
        <v>1836</v>
      </c>
      <c r="B511" s="1">
        <v>46184</v>
      </c>
      <c r="C511" t="s">
        <v>99</v>
      </c>
      <c r="D511" t="s">
        <v>36</v>
      </c>
      <c r="E511" t="s">
        <v>14</v>
      </c>
      <c r="F511" t="s">
        <v>25</v>
      </c>
      <c r="G511">
        <v>389815.63</v>
      </c>
      <c r="H511">
        <v>234178.29</v>
      </c>
      <c r="I511" t="s">
        <v>49</v>
      </c>
      <c r="J511" t="s">
        <v>41</v>
      </c>
      <c r="K511">
        <v>155637.34</v>
      </c>
      <c r="L511">
        <v>0.39925884962591163</v>
      </c>
    </row>
    <row r="512" spans="1:12" x14ac:dyDescent="0.35">
      <c r="A512" t="s">
        <v>1839</v>
      </c>
      <c r="B512" s="1">
        <v>46177</v>
      </c>
      <c r="C512" t="s">
        <v>52</v>
      </c>
      <c r="D512" t="s">
        <v>36</v>
      </c>
      <c r="E512" t="s">
        <v>37</v>
      </c>
      <c r="F512" t="s">
        <v>38</v>
      </c>
      <c r="G512">
        <v>301027.06</v>
      </c>
      <c r="H512">
        <v>210224.17</v>
      </c>
      <c r="I512" t="s">
        <v>32</v>
      </c>
      <c r="J512" t="s">
        <v>19</v>
      </c>
      <c r="K512">
        <v>90802.889999999985</v>
      </c>
      <c r="L512">
        <v>0.30164361303598414</v>
      </c>
    </row>
    <row r="513" spans="1:12" x14ac:dyDescent="0.35">
      <c r="A513" t="s">
        <v>1843</v>
      </c>
      <c r="B513" s="1">
        <v>46079</v>
      </c>
      <c r="C513" t="s">
        <v>52</v>
      </c>
      <c r="D513" t="s">
        <v>53</v>
      </c>
      <c r="E513" t="s">
        <v>109</v>
      </c>
      <c r="F513" t="s">
        <v>15</v>
      </c>
      <c r="G513">
        <v>407457.05</v>
      </c>
      <c r="H513">
        <v>275060.84999999998</v>
      </c>
      <c r="I513" t="s">
        <v>32</v>
      </c>
      <c r="J513" t="s">
        <v>41</v>
      </c>
      <c r="K513">
        <v>132396.20000000001</v>
      </c>
      <c r="L513">
        <v>0.32493289783548968</v>
      </c>
    </row>
    <row r="514" spans="1:12" x14ac:dyDescent="0.35">
      <c r="A514" t="s">
        <v>1846</v>
      </c>
      <c r="B514" s="1">
        <v>46193</v>
      </c>
      <c r="C514" t="s">
        <v>3383</v>
      </c>
      <c r="D514" t="s">
        <v>23</v>
      </c>
      <c r="E514" t="s">
        <v>134</v>
      </c>
      <c r="F514" t="s">
        <v>25</v>
      </c>
      <c r="G514">
        <v>54940.84</v>
      </c>
      <c r="H514">
        <v>41212.080000000002</v>
      </c>
      <c r="I514" t="s">
        <v>18</v>
      </c>
      <c r="J514" t="s">
        <v>41</v>
      </c>
      <c r="K514">
        <v>13728.759999999995</v>
      </c>
      <c r="L514">
        <v>0.24988260099408738</v>
      </c>
    </row>
    <row r="515" spans="1:12" x14ac:dyDescent="0.35">
      <c r="A515" t="s">
        <v>1850</v>
      </c>
      <c r="B515" s="1">
        <v>46193</v>
      </c>
      <c r="C515" t="s">
        <v>67</v>
      </c>
      <c r="D515" t="s">
        <v>36</v>
      </c>
      <c r="E515" t="s">
        <v>45</v>
      </c>
      <c r="F515" t="s">
        <v>15</v>
      </c>
      <c r="G515">
        <v>283295.82</v>
      </c>
      <c r="H515">
        <v>266462.89</v>
      </c>
      <c r="I515" t="s">
        <v>49</v>
      </c>
      <c r="J515" t="s">
        <v>41</v>
      </c>
      <c r="K515">
        <v>16832.929999999993</v>
      </c>
      <c r="L515">
        <v>5.9418208147229257E-2</v>
      </c>
    </row>
    <row r="516" spans="1:12" x14ac:dyDescent="0.35">
      <c r="A516" t="s">
        <v>1853</v>
      </c>
      <c r="B516" s="1">
        <v>46177</v>
      </c>
      <c r="C516" t="s">
        <v>52</v>
      </c>
      <c r="D516" t="s">
        <v>53</v>
      </c>
      <c r="E516" t="s">
        <v>24</v>
      </c>
      <c r="F516" t="s">
        <v>25</v>
      </c>
      <c r="G516">
        <v>374109.04</v>
      </c>
      <c r="H516">
        <v>320877.3</v>
      </c>
      <c r="I516" t="s">
        <v>32</v>
      </c>
      <c r="J516" t="s">
        <v>19</v>
      </c>
      <c r="K516">
        <v>53231.739999999991</v>
      </c>
      <c r="L516">
        <v>0.1422893710347122</v>
      </c>
    </row>
    <row r="517" spans="1:12" x14ac:dyDescent="0.35">
      <c r="A517" t="s">
        <v>1857</v>
      </c>
      <c r="B517" s="1">
        <v>46203</v>
      </c>
      <c r="C517" t="s">
        <v>12</v>
      </c>
      <c r="D517" t="s">
        <v>23</v>
      </c>
      <c r="E517" t="s">
        <v>37</v>
      </c>
      <c r="F517" t="s">
        <v>38</v>
      </c>
      <c r="G517">
        <v>230047.18</v>
      </c>
      <c r="H517">
        <v>103002.46</v>
      </c>
      <c r="I517" t="s">
        <v>18</v>
      </c>
      <c r="J517" t="s">
        <v>41</v>
      </c>
      <c r="K517">
        <v>127044.71999999999</v>
      </c>
      <c r="L517">
        <v>0.55225506350479925</v>
      </c>
    </row>
    <row r="518" spans="1:12" x14ac:dyDescent="0.35">
      <c r="A518" t="s">
        <v>1860</v>
      </c>
      <c r="B518" s="1">
        <v>46051</v>
      </c>
      <c r="C518" t="s">
        <v>67</v>
      </c>
      <c r="D518" t="s">
        <v>36</v>
      </c>
      <c r="E518" t="s">
        <v>24</v>
      </c>
      <c r="F518" t="s">
        <v>74</v>
      </c>
      <c r="G518">
        <v>428703.72</v>
      </c>
      <c r="H518">
        <v>378935.38</v>
      </c>
      <c r="I518" t="s">
        <v>49</v>
      </c>
      <c r="J518" t="s">
        <v>41</v>
      </c>
      <c r="K518">
        <v>49768.339999999967</v>
      </c>
      <c r="L518">
        <v>0.11609029191535816</v>
      </c>
    </row>
    <row r="519" spans="1:12" x14ac:dyDescent="0.35">
      <c r="A519" t="s">
        <v>1863</v>
      </c>
      <c r="B519" s="1">
        <v>46067</v>
      </c>
      <c r="C519" t="s">
        <v>12</v>
      </c>
      <c r="D519" t="s">
        <v>36</v>
      </c>
      <c r="E519" t="s">
        <v>134</v>
      </c>
      <c r="F519" t="s">
        <v>74</v>
      </c>
      <c r="G519">
        <v>349360.21</v>
      </c>
      <c r="H519">
        <v>322849.46000000002</v>
      </c>
      <c r="I519" t="s">
        <v>18</v>
      </c>
      <c r="J519" t="s">
        <v>19</v>
      </c>
      <c r="K519">
        <v>26510.75</v>
      </c>
      <c r="L519">
        <v>7.5883713259732699E-2</v>
      </c>
    </row>
    <row r="520" spans="1:12" x14ac:dyDescent="0.35">
      <c r="A520" t="s">
        <v>1866</v>
      </c>
      <c r="B520" s="1">
        <v>46050</v>
      </c>
      <c r="C520" t="s">
        <v>12</v>
      </c>
      <c r="D520" t="s">
        <v>53</v>
      </c>
      <c r="E520" t="s">
        <v>14</v>
      </c>
      <c r="F520" t="s">
        <v>25</v>
      </c>
      <c r="G520">
        <v>208231.15</v>
      </c>
      <c r="H520">
        <v>135172.41</v>
      </c>
      <c r="I520" t="s">
        <v>32</v>
      </c>
      <c r="J520" t="s">
        <v>41</v>
      </c>
      <c r="K520">
        <v>73058.739999999991</v>
      </c>
      <c r="L520">
        <v>0.35085403888899425</v>
      </c>
    </row>
    <row r="521" spans="1:12" x14ac:dyDescent="0.35">
      <c r="A521" t="s">
        <v>1869</v>
      </c>
      <c r="B521" s="1">
        <v>46072</v>
      </c>
      <c r="C521" t="s">
        <v>12</v>
      </c>
      <c r="D521" t="s">
        <v>53</v>
      </c>
      <c r="E521" t="s">
        <v>14</v>
      </c>
      <c r="F521" t="s">
        <v>38</v>
      </c>
      <c r="G521">
        <v>213040.52</v>
      </c>
      <c r="H521">
        <v>159846.18</v>
      </c>
      <c r="I521" t="s">
        <v>18</v>
      </c>
      <c r="J521" t="s">
        <v>41</v>
      </c>
      <c r="K521">
        <v>53194.34</v>
      </c>
      <c r="L521">
        <v>0.24969118550780856</v>
      </c>
    </row>
    <row r="522" spans="1:12" x14ac:dyDescent="0.35">
      <c r="A522" t="s">
        <v>1873</v>
      </c>
      <c r="B522" s="1">
        <v>46067</v>
      </c>
      <c r="C522" t="s">
        <v>99</v>
      </c>
      <c r="D522" t="s">
        <v>36</v>
      </c>
      <c r="E522" t="s">
        <v>109</v>
      </c>
      <c r="F522" t="s">
        <v>74</v>
      </c>
      <c r="G522">
        <v>310147.15000000002</v>
      </c>
      <c r="H522">
        <v>188530.76</v>
      </c>
      <c r="I522" t="s">
        <v>32</v>
      </c>
      <c r="J522" t="s">
        <v>41</v>
      </c>
      <c r="K522">
        <v>121616.39000000001</v>
      </c>
      <c r="L522">
        <v>0.39212480269446293</v>
      </c>
    </row>
    <row r="523" spans="1:12" x14ac:dyDescent="0.35">
      <c r="A523" t="s">
        <v>1876</v>
      </c>
      <c r="B523" s="1">
        <v>46162</v>
      </c>
      <c r="C523" t="s">
        <v>12</v>
      </c>
      <c r="D523" t="s">
        <v>53</v>
      </c>
      <c r="E523" t="s">
        <v>14</v>
      </c>
      <c r="F523" t="s">
        <v>15</v>
      </c>
      <c r="G523">
        <v>184739.6</v>
      </c>
      <c r="H523">
        <v>157517.57999999999</v>
      </c>
      <c r="I523" t="s">
        <v>49</v>
      </c>
      <c r="J523" t="s">
        <v>19</v>
      </c>
      <c r="K523">
        <v>27222.020000000019</v>
      </c>
      <c r="L523">
        <v>0.14735346401096472</v>
      </c>
    </row>
    <row r="524" spans="1:12" x14ac:dyDescent="0.35">
      <c r="A524" t="s">
        <v>1880</v>
      </c>
      <c r="B524" s="1">
        <v>46044</v>
      </c>
      <c r="C524" t="s">
        <v>12</v>
      </c>
      <c r="D524" t="s">
        <v>36</v>
      </c>
      <c r="E524" t="s">
        <v>45</v>
      </c>
      <c r="F524" t="s">
        <v>15</v>
      </c>
      <c r="G524">
        <v>230770.56</v>
      </c>
      <c r="H524">
        <v>109831.06</v>
      </c>
      <c r="I524" t="s">
        <v>32</v>
      </c>
      <c r="J524" t="s">
        <v>41</v>
      </c>
      <c r="K524">
        <v>120939.5</v>
      </c>
      <c r="L524">
        <v>0.52406814803413404</v>
      </c>
    </row>
    <row r="525" spans="1:12" x14ac:dyDescent="0.35">
      <c r="A525" t="s">
        <v>1883</v>
      </c>
      <c r="B525" s="1">
        <v>46127</v>
      </c>
      <c r="C525" t="s">
        <v>12</v>
      </c>
      <c r="D525" t="s">
        <v>36</v>
      </c>
      <c r="E525" t="s">
        <v>37</v>
      </c>
      <c r="F525" t="s">
        <v>38</v>
      </c>
      <c r="G525">
        <v>248966.26</v>
      </c>
      <c r="H525">
        <v>194233.86</v>
      </c>
      <c r="I525" t="s">
        <v>18</v>
      </c>
      <c r="J525" t="s">
        <v>19</v>
      </c>
      <c r="K525">
        <v>54732.400000000023</v>
      </c>
      <c r="L525">
        <v>0.21983862391634923</v>
      </c>
    </row>
    <row r="526" spans="1:12" x14ac:dyDescent="0.35">
      <c r="A526" t="s">
        <v>1887</v>
      </c>
      <c r="B526" s="1">
        <v>46142</v>
      </c>
      <c r="C526" t="s">
        <v>99</v>
      </c>
      <c r="D526" t="s">
        <v>53</v>
      </c>
      <c r="E526" t="s">
        <v>134</v>
      </c>
      <c r="F526" t="s">
        <v>25</v>
      </c>
      <c r="G526">
        <v>90782.76</v>
      </c>
      <c r="H526">
        <v>58020.13</v>
      </c>
      <c r="I526" t="s">
        <v>49</v>
      </c>
      <c r="J526" t="s">
        <v>19</v>
      </c>
      <c r="K526">
        <v>32762.629999999997</v>
      </c>
      <c r="L526">
        <v>0.36089043778796764</v>
      </c>
    </row>
    <row r="527" spans="1:12" x14ac:dyDescent="0.35">
      <c r="A527" t="s">
        <v>1891</v>
      </c>
      <c r="B527" s="1">
        <v>46068</v>
      </c>
      <c r="C527" t="s">
        <v>12</v>
      </c>
      <c r="D527" t="s">
        <v>23</v>
      </c>
      <c r="E527" t="s">
        <v>134</v>
      </c>
      <c r="F527" t="s">
        <v>15</v>
      </c>
      <c r="G527">
        <v>228447.8</v>
      </c>
      <c r="H527">
        <v>154715.51</v>
      </c>
      <c r="I527" t="s">
        <v>32</v>
      </c>
      <c r="J527" t="s">
        <v>19</v>
      </c>
      <c r="K527">
        <v>73732.289999999979</v>
      </c>
      <c r="L527">
        <v>0.32275333796166994</v>
      </c>
    </row>
    <row r="528" spans="1:12" x14ac:dyDescent="0.35">
      <c r="A528" t="s">
        <v>1894</v>
      </c>
      <c r="B528" s="1">
        <v>46134</v>
      </c>
      <c r="C528" t="s">
        <v>3383</v>
      </c>
      <c r="D528" t="s">
        <v>23</v>
      </c>
      <c r="E528" t="s">
        <v>134</v>
      </c>
      <c r="F528" t="s">
        <v>46</v>
      </c>
      <c r="G528">
        <v>72536.52</v>
      </c>
      <c r="H528">
        <v>48288.1</v>
      </c>
      <c r="I528" t="s">
        <v>32</v>
      </c>
      <c r="J528" t="s">
        <v>19</v>
      </c>
      <c r="K528">
        <v>24248.420000000006</v>
      </c>
      <c r="L528">
        <v>0.33429257427844628</v>
      </c>
    </row>
    <row r="529" spans="1:12" x14ac:dyDescent="0.35">
      <c r="A529" t="s">
        <v>1897</v>
      </c>
      <c r="B529" s="1">
        <v>46171</v>
      </c>
      <c r="C529" t="s">
        <v>12</v>
      </c>
      <c r="D529" t="s">
        <v>23</v>
      </c>
      <c r="E529" t="s">
        <v>45</v>
      </c>
      <c r="F529" t="s">
        <v>25</v>
      </c>
      <c r="G529">
        <v>467898.02</v>
      </c>
      <c r="H529">
        <v>303806.94</v>
      </c>
      <c r="I529" t="s">
        <v>49</v>
      </c>
      <c r="J529" t="s">
        <v>19</v>
      </c>
      <c r="K529">
        <v>164091.08000000002</v>
      </c>
      <c r="L529">
        <v>0.35069838508827206</v>
      </c>
    </row>
    <row r="530" spans="1:12" x14ac:dyDescent="0.35">
      <c r="A530" t="s">
        <v>1900</v>
      </c>
      <c r="B530" s="1">
        <v>46113</v>
      </c>
      <c r="C530" t="s">
        <v>12</v>
      </c>
      <c r="D530" t="s">
        <v>53</v>
      </c>
      <c r="E530" t="s">
        <v>45</v>
      </c>
      <c r="F530" t="s">
        <v>25</v>
      </c>
      <c r="G530">
        <v>169192.28</v>
      </c>
      <c r="H530">
        <v>145550.54</v>
      </c>
      <c r="I530" t="s">
        <v>49</v>
      </c>
      <c r="J530" t="s">
        <v>19</v>
      </c>
      <c r="K530">
        <v>23641.739999999991</v>
      </c>
      <c r="L530">
        <v>0.13973297126795614</v>
      </c>
    </row>
    <row r="531" spans="1:12" x14ac:dyDescent="0.35">
      <c r="A531" t="s">
        <v>1903</v>
      </c>
      <c r="B531" s="1">
        <v>46083</v>
      </c>
      <c r="C531" t="s">
        <v>67</v>
      </c>
      <c r="D531" t="s">
        <v>36</v>
      </c>
      <c r="E531" t="s">
        <v>134</v>
      </c>
      <c r="F531" t="s">
        <v>38</v>
      </c>
      <c r="G531">
        <v>227285.02</v>
      </c>
      <c r="H531">
        <v>172823.74</v>
      </c>
      <c r="I531" t="s">
        <v>49</v>
      </c>
      <c r="J531" t="s">
        <v>19</v>
      </c>
      <c r="K531">
        <v>54461.279999999999</v>
      </c>
      <c r="L531">
        <v>0.23961667161346578</v>
      </c>
    </row>
    <row r="532" spans="1:12" x14ac:dyDescent="0.35">
      <c r="A532" t="s">
        <v>1906</v>
      </c>
      <c r="B532" s="1">
        <v>46166</v>
      </c>
      <c r="C532" t="s">
        <v>3383</v>
      </c>
      <c r="D532" t="s">
        <v>23</v>
      </c>
      <c r="E532" t="s">
        <v>134</v>
      </c>
      <c r="F532" t="s">
        <v>74</v>
      </c>
      <c r="G532">
        <v>128468.88</v>
      </c>
      <c r="H532">
        <v>120096.82</v>
      </c>
      <c r="I532" t="s">
        <v>18</v>
      </c>
      <c r="J532" t="s">
        <v>41</v>
      </c>
      <c r="K532">
        <v>8372.0599999999977</v>
      </c>
      <c r="L532">
        <v>6.5168000219197039E-2</v>
      </c>
    </row>
    <row r="533" spans="1:12" x14ac:dyDescent="0.35">
      <c r="A533" t="s">
        <v>1910</v>
      </c>
      <c r="B533" s="1">
        <v>46054</v>
      </c>
      <c r="C533" t="s">
        <v>67</v>
      </c>
      <c r="D533" t="s">
        <v>23</v>
      </c>
      <c r="E533" t="s">
        <v>109</v>
      </c>
      <c r="F533" t="s">
        <v>38</v>
      </c>
      <c r="G533">
        <v>387759.27</v>
      </c>
      <c r="H533">
        <v>296328.90000000002</v>
      </c>
      <c r="I533" t="s">
        <v>18</v>
      </c>
      <c r="J533" t="s">
        <v>41</v>
      </c>
      <c r="K533">
        <v>91430.37</v>
      </c>
      <c r="L533">
        <v>0.23579157759400565</v>
      </c>
    </row>
    <row r="534" spans="1:12" x14ac:dyDescent="0.35">
      <c r="A534" t="s">
        <v>1913</v>
      </c>
      <c r="B534" s="1">
        <v>46083</v>
      </c>
      <c r="C534" t="s">
        <v>52</v>
      </c>
      <c r="D534" t="s">
        <v>36</v>
      </c>
      <c r="E534" t="s">
        <v>45</v>
      </c>
      <c r="F534" t="s">
        <v>46</v>
      </c>
      <c r="G534">
        <v>259229.44</v>
      </c>
      <c r="H534">
        <v>107842.61</v>
      </c>
      <c r="I534" t="s">
        <v>32</v>
      </c>
      <c r="J534" t="s">
        <v>41</v>
      </c>
      <c r="K534">
        <v>151386.83000000002</v>
      </c>
      <c r="L534">
        <v>0.58398779860805938</v>
      </c>
    </row>
    <row r="535" spans="1:12" x14ac:dyDescent="0.35">
      <c r="A535" t="s">
        <v>1917</v>
      </c>
      <c r="B535" s="1">
        <v>46179</v>
      </c>
      <c r="C535" t="s">
        <v>12</v>
      </c>
      <c r="D535" t="s">
        <v>53</v>
      </c>
      <c r="E535" t="s">
        <v>109</v>
      </c>
      <c r="F535" t="s">
        <v>15</v>
      </c>
      <c r="G535">
        <v>120889.1</v>
      </c>
      <c r="H535">
        <v>49208.31</v>
      </c>
      <c r="I535" t="s">
        <v>49</v>
      </c>
      <c r="J535" t="s">
        <v>41</v>
      </c>
      <c r="K535">
        <v>71680.790000000008</v>
      </c>
      <c r="L535">
        <v>0.59294667592032702</v>
      </c>
    </row>
    <row r="536" spans="1:12" x14ac:dyDescent="0.35">
      <c r="A536" t="s">
        <v>1921</v>
      </c>
      <c r="B536" s="1">
        <v>46087</v>
      </c>
      <c r="C536" t="s">
        <v>52</v>
      </c>
      <c r="D536" t="s">
        <v>53</v>
      </c>
      <c r="E536" t="s">
        <v>37</v>
      </c>
      <c r="F536" t="s">
        <v>38</v>
      </c>
      <c r="G536">
        <v>232457.01</v>
      </c>
      <c r="H536">
        <v>93014.34</v>
      </c>
      <c r="I536" t="s">
        <v>49</v>
      </c>
      <c r="J536" t="s">
        <v>19</v>
      </c>
      <c r="K536">
        <v>139442.67000000001</v>
      </c>
      <c r="L536">
        <v>0.59986433620564938</v>
      </c>
    </row>
    <row r="537" spans="1:12" x14ac:dyDescent="0.35">
      <c r="A537" t="s">
        <v>1924</v>
      </c>
      <c r="B537" s="1">
        <v>46102</v>
      </c>
      <c r="C537" t="s">
        <v>12</v>
      </c>
      <c r="D537" t="s">
        <v>36</v>
      </c>
      <c r="E537" t="s">
        <v>14</v>
      </c>
      <c r="F537" t="s">
        <v>79</v>
      </c>
      <c r="G537">
        <v>262718.17</v>
      </c>
      <c r="H537">
        <v>185188.3</v>
      </c>
      <c r="I537" t="s">
        <v>18</v>
      </c>
      <c r="J537" t="s">
        <v>19</v>
      </c>
      <c r="K537">
        <v>77529.87</v>
      </c>
      <c r="L537">
        <v>0.29510661557972939</v>
      </c>
    </row>
    <row r="538" spans="1:12" x14ac:dyDescent="0.35">
      <c r="A538" t="s">
        <v>1927</v>
      </c>
      <c r="B538" s="1">
        <v>46043</v>
      </c>
      <c r="C538" t="s">
        <v>67</v>
      </c>
      <c r="D538" t="s">
        <v>53</v>
      </c>
      <c r="E538" t="s">
        <v>24</v>
      </c>
      <c r="F538" t="s">
        <v>38</v>
      </c>
      <c r="G538">
        <v>167755.29999999999</v>
      </c>
      <c r="H538">
        <v>124635.26</v>
      </c>
      <c r="I538" t="s">
        <v>32</v>
      </c>
      <c r="J538" t="s">
        <v>19</v>
      </c>
      <c r="K538">
        <v>43120.039999999994</v>
      </c>
      <c r="L538">
        <v>0.25704129765199668</v>
      </c>
    </row>
    <row r="539" spans="1:12" x14ac:dyDescent="0.35">
      <c r="A539" t="s">
        <v>1930</v>
      </c>
      <c r="B539" s="1">
        <v>46129</v>
      </c>
      <c r="C539" t="s">
        <v>52</v>
      </c>
      <c r="D539" t="s">
        <v>36</v>
      </c>
      <c r="E539" t="s">
        <v>134</v>
      </c>
      <c r="F539" t="s">
        <v>25</v>
      </c>
      <c r="G539">
        <v>436851.91</v>
      </c>
      <c r="H539">
        <v>275634.11</v>
      </c>
      <c r="I539" t="s">
        <v>49</v>
      </c>
      <c r="J539" t="s">
        <v>41</v>
      </c>
      <c r="K539">
        <v>161217.79999999999</v>
      </c>
      <c r="L539">
        <v>0.36904451213226924</v>
      </c>
    </row>
    <row r="540" spans="1:12" x14ac:dyDescent="0.35">
      <c r="A540" t="s">
        <v>1933</v>
      </c>
      <c r="B540" s="1">
        <v>46023</v>
      </c>
      <c r="C540" t="s">
        <v>99</v>
      </c>
      <c r="D540" t="s">
        <v>23</v>
      </c>
      <c r="E540" t="s">
        <v>134</v>
      </c>
      <c r="F540" t="s">
        <v>79</v>
      </c>
      <c r="G540">
        <v>246674.19</v>
      </c>
      <c r="H540">
        <v>162152.32999999999</v>
      </c>
      <c r="I540" t="s">
        <v>49</v>
      </c>
      <c r="J540" t="s">
        <v>19</v>
      </c>
      <c r="K540">
        <v>84521.860000000015</v>
      </c>
      <c r="L540">
        <v>0.34264573849416519</v>
      </c>
    </row>
    <row r="541" spans="1:12" x14ac:dyDescent="0.35">
      <c r="A541" t="s">
        <v>1937</v>
      </c>
      <c r="B541" s="1">
        <v>46125</v>
      </c>
      <c r="C541" t="s">
        <v>12</v>
      </c>
      <c r="D541" t="s">
        <v>53</v>
      </c>
      <c r="E541" t="s">
        <v>45</v>
      </c>
      <c r="F541" t="s">
        <v>79</v>
      </c>
      <c r="G541">
        <v>89176.6</v>
      </c>
      <c r="H541">
        <v>67106.13</v>
      </c>
      <c r="I541" t="s">
        <v>49</v>
      </c>
      <c r="J541" t="s">
        <v>41</v>
      </c>
      <c r="K541">
        <v>22070.47</v>
      </c>
      <c r="L541">
        <v>0.2474917186795639</v>
      </c>
    </row>
    <row r="542" spans="1:12" x14ac:dyDescent="0.35">
      <c r="A542" t="s">
        <v>1941</v>
      </c>
      <c r="B542" s="1">
        <v>46136</v>
      </c>
      <c r="C542" t="s">
        <v>52</v>
      </c>
      <c r="D542" t="s">
        <v>36</v>
      </c>
      <c r="E542" t="s">
        <v>134</v>
      </c>
      <c r="F542" t="s">
        <v>46</v>
      </c>
      <c r="G542">
        <v>328331.25</v>
      </c>
      <c r="H542">
        <v>166026.63</v>
      </c>
      <c r="I542" t="s">
        <v>49</v>
      </c>
      <c r="J542" t="s">
        <v>41</v>
      </c>
      <c r="K542">
        <v>162304.62</v>
      </c>
      <c r="L542">
        <v>0.49433192850208441</v>
      </c>
    </row>
    <row r="543" spans="1:12" x14ac:dyDescent="0.35">
      <c r="A543" t="s">
        <v>1944</v>
      </c>
      <c r="B543" s="1">
        <v>46063</v>
      </c>
      <c r="C543" t="s">
        <v>52</v>
      </c>
      <c r="D543" t="s">
        <v>36</v>
      </c>
      <c r="E543" t="s">
        <v>24</v>
      </c>
      <c r="F543" t="s">
        <v>46</v>
      </c>
      <c r="G543">
        <v>248354.5</v>
      </c>
      <c r="H543">
        <v>172471.1</v>
      </c>
      <c r="I543" t="s">
        <v>18</v>
      </c>
      <c r="J543" t="s">
        <v>41</v>
      </c>
      <c r="K543">
        <v>75883.399999999994</v>
      </c>
      <c r="L543">
        <v>0.30554469518369909</v>
      </c>
    </row>
    <row r="544" spans="1:12" x14ac:dyDescent="0.35">
      <c r="A544" t="s">
        <v>1947</v>
      </c>
      <c r="B544" s="1">
        <v>46189</v>
      </c>
      <c r="C544" t="s">
        <v>52</v>
      </c>
      <c r="D544" t="s">
        <v>36</v>
      </c>
      <c r="E544" t="s">
        <v>24</v>
      </c>
      <c r="F544" t="s">
        <v>15</v>
      </c>
      <c r="G544">
        <v>373776.87</v>
      </c>
      <c r="H544">
        <v>273429.32</v>
      </c>
      <c r="I544" t="s">
        <v>18</v>
      </c>
      <c r="J544" t="s">
        <v>19</v>
      </c>
      <c r="K544">
        <v>100347.54999999999</v>
      </c>
      <c r="L544">
        <v>0.26846912704897974</v>
      </c>
    </row>
    <row r="545" spans="1:12" x14ac:dyDescent="0.35">
      <c r="A545" t="s">
        <v>1951</v>
      </c>
      <c r="B545" s="1">
        <v>46042</v>
      </c>
      <c r="C545" t="s">
        <v>12</v>
      </c>
      <c r="D545" t="s">
        <v>53</v>
      </c>
      <c r="E545" t="s">
        <v>109</v>
      </c>
      <c r="F545" t="s">
        <v>38</v>
      </c>
      <c r="G545">
        <v>474057.51</v>
      </c>
      <c r="H545">
        <v>254838.05</v>
      </c>
      <c r="I545" t="s">
        <v>32</v>
      </c>
      <c r="J545" t="s">
        <v>41</v>
      </c>
      <c r="K545">
        <v>219219.46000000002</v>
      </c>
      <c r="L545">
        <v>0.46243220574651378</v>
      </c>
    </row>
    <row r="546" spans="1:12" x14ac:dyDescent="0.35">
      <c r="A546" t="s">
        <v>1954</v>
      </c>
      <c r="B546" s="1">
        <v>46062</v>
      </c>
      <c r="C546" t="s">
        <v>12</v>
      </c>
      <c r="D546" t="s">
        <v>23</v>
      </c>
      <c r="E546" t="s">
        <v>37</v>
      </c>
      <c r="F546" t="s">
        <v>74</v>
      </c>
      <c r="G546">
        <v>73350.84</v>
      </c>
      <c r="H546">
        <v>39683.370000000003</v>
      </c>
      <c r="I546" t="s">
        <v>49</v>
      </c>
      <c r="J546" t="s">
        <v>19</v>
      </c>
      <c r="K546">
        <v>33667.469999999994</v>
      </c>
      <c r="L546">
        <v>0.45899228965885047</v>
      </c>
    </row>
    <row r="547" spans="1:12" x14ac:dyDescent="0.35">
      <c r="A547" t="s">
        <v>1957</v>
      </c>
      <c r="B547" s="1">
        <v>46081</v>
      </c>
      <c r="C547" t="s">
        <v>67</v>
      </c>
      <c r="D547" t="s">
        <v>53</v>
      </c>
      <c r="E547" t="s">
        <v>37</v>
      </c>
      <c r="F547" t="s">
        <v>79</v>
      </c>
      <c r="G547">
        <v>430853.46</v>
      </c>
      <c r="H547">
        <v>346212.81</v>
      </c>
      <c r="I547" t="s">
        <v>32</v>
      </c>
      <c r="J547" t="s">
        <v>41</v>
      </c>
      <c r="K547">
        <v>84640.650000000023</v>
      </c>
      <c r="L547">
        <v>0.19644881115727844</v>
      </c>
    </row>
    <row r="548" spans="1:12" x14ac:dyDescent="0.35">
      <c r="A548" t="s">
        <v>1960</v>
      </c>
      <c r="B548" s="1">
        <v>46120</v>
      </c>
      <c r="C548" t="s">
        <v>12</v>
      </c>
      <c r="D548" t="s">
        <v>36</v>
      </c>
      <c r="E548" t="s">
        <v>109</v>
      </c>
      <c r="F548" t="s">
        <v>25</v>
      </c>
      <c r="G548">
        <v>102583.06</v>
      </c>
      <c r="H548">
        <v>97213.79</v>
      </c>
      <c r="I548" t="s">
        <v>49</v>
      </c>
      <c r="J548" t="s">
        <v>19</v>
      </c>
      <c r="K548">
        <v>5369.2700000000041</v>
      </c>
      <c r="L548">
        <v>5.2340708105217411E-2</v>
      </c>
    </row>
    <row r="549" spans="1:12" x14ac:dyDescent="0.35">
      <c r="A549" t="s">
        <v>1963</v>
      </c>
      <c r="B549" s="1">
        <v>46150</v>
      </c>
      <c r="C549" t="s">
        <v>99</v>
      </c>
      <c r="D549" t="s">
        <v>53</v>
      </c>
      <c r="E549" t="s">
        <v>37</v>
      </c>
      <c r="F549" t="s">
        <v>46</v>
      </c>
      <c r="G549">
        <v>353070.11</v>
      </c>
      <c r="H549">
        <v>197338.14</v>
      </c>
      <c r="I549" t="s">
        <v>49</v>
      </c>
      <c r="J549" t="s">
        <v>19</v>
      </c>
      <c r="K549">
        <v>155731.96999999997</v>
      </c>
      <c r="L549">
        <v>0.44107945019758249</v>
      </c>
    </row>
    <row r="550" spans="1:12" x14ac:dyDescent="0.35">
      <c r="A550" t="s">
        <v>1966</v>
      </c>
      <c r="B550" s="1">
        <v>46054</v>
      </c>
      <c r="C550" t="s">
        <v>3383</v>
      </c>
      <c r="D550" t="s">
        <v>53</v>
      </c>
      <c r="E550" t="s">
        <v>134</v>
      </c>
      <c r="F550" t="s">
        <v>15</v>
      </c>
      <c r="G550">
        <v>355965.4</v>
      </c>
      <c r="H550">
        <v>273517.58</v>
      </c>
      <c r="I550" t="s">
        <v>32</v>
      </c>
      <c r="J550" t="s">
        <v>41</v>
      </c>
      <c r="K550">
        <v>82447.820000000007</v>
      </c>
      <c r="L550">
        <v>0.23161751114012766</v>
      </c>
    </row>
    <row r="551" spans="1:12" x14ac:dyDescent="0.35">
      <c r="A551" t="s">
        <v>1970</v>
      </c>
      <c r="B551" s="1">
        <v>46100</v>
      </c>
      <c r="C551" t="s">
        <v>12</v>
      </c>
      <c r="D551" t="s">
        <v>36</v>
      </c>
      <c r="E551" t="s">
        <v>134</v>
      </c>
      <c r="F551" t="s">
        <v>46</v>
      </c>
      <c r="G551">
        <v>437035.04</v>
      </c>
      <c r="H551">
        <v>237380.25</v>
      </c>
      <c r="I551" t="s">
        <v>49</v>
      </c>
      <c r="J551" t="s">
        <v>19</v>
      </c>
      <c r="K551">
        <v>199654.78999999998</v>
      </c>
      <c r="L551">
        <v>0.45683931887932827</v>
      </c>
    </row>
    <row r="552" spans="1:12" x14ac:dyDescent="0.35">
      <c r="A552" t="s">
        <v>1974</v>
      </c>
      <c r="B552" s="1">
        <v>46067</v>
      </c>
      <c r="C552" t="s">
        <v>99</v>
      </c>
      <c r="D552" t="s">
        <v>23</v>
      </c>
      <c r="E552" t="s">
        <v>109</v>
      </c>
      <c r="F552" t="s">
        <v>74</v>
      </c>
      <c r="G552">
        <v>211222.69</v>
      </c>
      <c r="H552">
        <v>102408.03</v>
      </c>
      <c r="I552" t="s">
        <v>18</v>
      </c>
      <c r="J552" t="s">
        <v>19</v>
      </c>
      <c r="K552">
        <v>108814.66</v>
      </c>
      <c r="L552">
        <v>0.51516558187948469</v>
      </c>
    </row>
    <row r="553" spans="1:12" x14ac:dyDescent="0.35">
      <c r="A553" t="s">
        <v>1977</v>
      </c>
      <c r="B553" s="1">
        <v>46109</v>
      </c>
      <c r="C553" t="s">
        <v>12</v>
      </c>
      <c r="D553" t="s">
        <v>23</v>
      </c>
      <c r="E553" t="s">
        <v>14</v>
      </c>
      <c r="F553" t="s">
        <v>79</v>
      </c>
      <c r="G553">
        <v>493071.29</v>
      </c>
      <c r="H553">
        <v>213140.31</v>
      </c>
      <c r="I553" t="s">
        <v>32</v>
      </c>
      <c r="J553" t="s">
        <v>19</v>
      </c>
      <c r="K553">
        <v>279930.98</v>
      </c>
      <c r="L553">
        <v>0.56772922227939893</v>
      </c>
    </row>
    <row r="554" spans="1:12" x14ac:dyDescent="0.35">
      <c r="A554" t="s">
        <v>1980</v>
      </c>
      <c r="B554" s="1">
        <v>46161</v>
      </c>
      <c r="C554" t="s">
        <v>3383</v>
      </c>
      <c r="D554" t="s">
        <v>36</v>
      </c>
      <c r="E554" t="s">
        <v>109</v>
      </c>
      <c r="F554" t="s">
        <v>46</v>
      </c>
      <c r="G554">
        <v>120931.99</v>
      </c>
      <c r="H554">
        <v>54118.85</v>
      </c>
      <c r="I554" t="s">
        <v>32</v>
      </c>
      <c r="J554" t="s">
        <v>41</v>
      </c>
      <c r="K554">
        <v>66813.140000000014</v>
      </c>
      <c r="L554">
        <v>0.55248524397886789</v>
      </c>
    </row>
    <row r="555" spans="1:12" x14ac:dyDescent="0.35">
      <c r="A555" t="s">
        <v>1983</v>
      </c>
      <c r="B555" s="1">
        <v>46162</v>
      </c>
      <c r="C555" t="s">
        <v>12</v>
      </c>
      <c r="D555" t="s">
        <v>23</v>
      </c>
      <c r="E555" t="s">
        <v>45</v>
      </c>
      <c r="F555" t="s">
        <v>74</v>
      </c>
      <c r="G555">
        <v>191736.23</v>
      </c>
      <c r="H555">
        <v>121156.48</v>
      </c>
      <c r="I555" t="s">
        <v>49</v>
      </c>
      <c r="J555" t="s">
        <v>41</v>
      </c>
      <c r="K555">
        <v>70579.750000000015</v>
      </c>
      <c r="L555">
        <v>0.36810857290768684</v>
      </c>
    </row>
    <row r="556" spans="1:12" x14ac:dyDescent="0.35">
      <c r="A556" t="s">
        <v>1986</v>
      </c>
      <c r="B556" s="1">
        <v>46029</v>
      </c>
      <c r="C556" t="s">
        <v>67</v>
      </c>
      <c r="D556" t="s">
        <v>23</v>
      </c>
      <c r="E556" t="s">
        <v>109</v>
      </c>
      <c r="F556" t="s">
        <v>38</v>
      </c>
      <c r="G556">
        <v>325092</v>
      </c>
      <c r="H556">
        <v>279778.68</v>
      </c>
      <c r="I556" t="s">
        <v>49</v>
      </c>
      <c r="J556" t="s">
        <v>41</v>
      </c>
      <c r="K556">
        <v>45313.320000000007</v>
      </c>
      <c r="L556">
        <v>0.13938614299952015</v>
      </c>
    </row>
    <row r="557" spans="1:12" x14ac:dyDescent="0.35">
      <c r="A557" t="s">
        <v>1989</v>
      </c>
      <c r="B557" s="1">
        <v>46186</v>
      </c>
      <c r="C557" t="s">
        <v>12</v>
      </c>
      <c r="D557" t="s">
        <v>36</v>
      </c>
      <c r="E557" t="s">
        <v>14</v>
      </c>
      <c r="F557" t="s">
        <v>79</v>
      </c>
      <c r="G557">
        <v>51061.67</v>
      </c>
      <c r="H557">
        <v>23144.59</v>
      </c>
      <c r="I557" t="s">
        <v>18</v>
      </c>
      <c r="J557" t="s">
        <v>19</v>
      </c>
      <c r="K557">
        <v>27917.079999999998</v>
      </c>
      <c r="L557">
        <v>0.54673260784459266</v>
      </c>
    </row>
    <row r="558" spans="1:12" x14ac:dyDescent="0.35">
      <c r="A558" t="s">
        <v>1992</v>
      </c>
      <c r="B558" s="1">
        <v>46168</v>
      </c>
      <c r="C558" t="s">
        <v>52</v>
      </c>
      <c r="D558" t="s">
        <v>36</v>
      </c>
      <c r="E558" t="s">
        <v>45</v>
      </c>
      <c r="F558" t="s">
        <v>15</v>
      </c>
      <c r="G558">
        <v>468673.15</v>
      </c>
      <c r="H558">
        <v>246107.33</v>
      </c>
      <c r="I558" t="s">
        <v>32</v>
      </c>
      <c r="J558" t="s">
        <v>19</v>
      </c>
      <c r="K558">
        <v>222565.82000000004</v>
      </c>
      <c r="L558">
        <v>0.47488493846937896</v>
      </c>
    </row>
    <row r="559" spans="1:12" x14ac:dyDescent="0.35">
      <c r="A559" t="s">
        <v>1995</v>
      </c>
      <c r="B559" s="1">
        <v>46135</v>
      </c>
      <c r="C559" t="s">
        <v>99</v>
      </c>
      <c r="D559" t="s">
        <v>53</v>
      </c>
      <c r="E559" t="s">
        <v>14</v>
      </c>
      <c r="F559" t="s">
        <v>25</v>
      </c>
      <c r="G559">
        <v>163982.21</v>
      </c>
      <c r="H559">
        <v>69528.95</v>
      </c>
      <c r="I559" t="s">
        <v>49</v>
      </c>
      <c r="J559" t="s">
        <v>41</v>
      </c>
      <c r="K559">
        <v>94453.26</v>
      </c>
      <c r="L559">
        <v>0.57599699382024427</v>
      </c>
    </row>
    <row r="560" spans="1:12" x14ac:dyDescent="0.35">
      <c r="A560" t="s">
        <v>1998</v>
      </c>
      <c r="B560" s="1">
        <v>46083</v>
      </c>
      <c r="C560" t="s">
        <v>12</v>
      </c>
      <c r="D560" t="s">
        <v>36</v>
      </c>
      <c r="E560" t="s">
        <v>134</v>
      </c>
      <c r="F560" t="s">
        <v>74</v>
      </c>
      <c r="G560">
        <v>172330.04</v>
      </c>
      <c r="H560">
        <v>121059.45</v>
      </c>
      <c r="I560" t="s">
        <v>18</v>
      </c>
      <c r="J560" t="s">
        <v>19</v>
      </c>
      <c r="K560">
        <v>51270.590000000011</v>
      </c>
      <c r="L560">
        <v>0.29751394475391529</v>
      </c>
    </row>
    <row r="561" spans="1:12" x14ac:dyDescent="0.35">
      <c r="A561" t="s">
        <v>2001</v>
      </c>
      <c r="B561" s="1">
        <v>46189</v>
      </c>
      <c r="C561" t="s">
        <v>12</v>
      </c>
      <c r="D561" t="s">
        <v>36</v>
      </c>
      <c r="E561" t="s">
        <v>37</v>
      </c>
      <c r="F561" t="s">
        <v>38</v>
      </c>
      <c r="G561">
        <v>241486.85</v>
      </c>
      <c r="H561">
        <v>222410.72</v>
      </c>
      <c r="I561" t="s">
        <v>18</v>
      </c>
      <c r="J561" t="s">
        <v>41</v>
      </c>
      <c r="K561">
        <v>19076.130000000005</v>
      </c>
      <c r="L561">
        <v>7.8994487691565834E-2</v>
      </c>
    </row>
    <row r="562" spans="1:12" x14ac:dyDescent="0.35">
      <c r="A562" t="s">
        <v>2004</v>
      </c>
      <c r="B562" s="1">
        <v>46111</v>
      </c>
      <c r="C562" t="s">
        <v>52</v>
      </c>
      <c r="D562" t="s">
        <v>23</v>
      </c>
      <c r="E562" t="s">
        <v>24</v>
      </c>
      <c r="F562" t="s">
        <v>46</v>
      </c>
      <c r="G562">
        <v>154720.54</v>
      </c>
      <c r="H562">
        <v>139723.79</v>
      </c>
      <c r="I562" t="s">
        <v>18</v>
      </c>
      <c r="J562" t="s">
        <v>41</v>
      </c>
      <c r="K562">
        <v>14996.75</v>
      </c>
      <c r="L562">
        <v>9.6927983834596235E-2</v>
      </c>
    </row>
    <row r="563" spans="1:12" x14ac:dyDescent="0.35">
      <c r="A563" t="s">
        <v>2007</v>
      </c>
      <c r="B563" s="1">
        <v>46145</v>
      </c>
      <c r="C563" t="s">
        <v>52</v>
      </c>
      <c r="D563" t="s">
        <v>36</v>
      </c>
      <c r="E563" t="s">
        <v>37</v>
      </c>
      <c r="F563" t="s">
        <v>15</v>
      </c>
      <c r="G563">
        <v>269632.81</v>
      </c>
      <c r="H563">
        <v>127722.29</v>
      </c>
      <c r="I563" t="s">
        <v>32</v>
      </c>
      <c r="J563" t="s">
        <v>41</v>
      </c>
      <c r="K563">
        <v>141910.52000000002</v>
      </c>
      <c r="L563">
        <v>0.52631028100771571</v>
      </c>
    </row>
    <row r="564" spans="1:12" x14ac:dyDescent="0.35">
      <c r="A564" t="s">
        <v>2010</v>
      </c>
      <c r="B564" s="1">
        <v>46098</v>
      </c>
      <c r="C564" t="s">
        <v>12</v>
      </c>
      <c r="D564" t="s">
        <v>23</v>
      </c>
      <c r="E564" t="s">
        <v>45</v>
      </c>
      <c r="F564" t="s">
        <v>38</v>
      </c>
      <c r="G564">
        <v>228722.05</v>
      </c>
      <c r="H564">
        <v>138057.37</v>
      </c>
      <c r="I564" t="s">
        <v>18</v>
      </c>
      <c r="J564" t="s">
        <v>41</v>
      </c>
      <c r="K564">
        <v>90664.68</v>
      </c>
      <c r="L564">
        <v>0.3963967619212927</v>
      </c>
    </row>
    <row r="565" spans="1:12" x14ac:dyDescent="0.35">
      <c r="A565" t="s">
        <v>2013</v>
      </c>
      <c r="B565" s="1">
        <v>46195</v>
      </c>
      <c r="C565" t="s">
        <v>3383</v>
      </c>
      <c r="D565" t="s">
        <v>53</v>
      </c>
      <c r="E565" t="s">
        <v>24</v>
      </c>
      <c r="F565" t="s">
        <v>15</v>
      </c>
      <c r="G565">
        <v>263899.53999999998</v>
      </c>
      <c r="H565">
        <v>229682.54</v>
      </c>
      <c r="I565" t="s">
        <v>32</v>
      </c>
      <c r="J565" t="s">
        <v>19</v>
      </c>
      <c r="K565">
        <v>34216.999999999971</v>
      </c>
      <c r="L565">
        <v>0.1296591877348478</v>
      </c>
    </row>
    <row r="566" spans="1:12" x14ac:dyDescent="0.35">
      <c r="A566" t="s">
        <v>2016</v>
      </c>
      <c r="B566" s="1">
        <v>46104</v>
      </c>
      <c r="C566" t="s">
        <v>12</v>
      </c>
      <c r="D566" t="s">
        <v>53</v>
      </c>
      <c r="E566" t="s">
        <v>109</v>
      </c>
      <c r="F566" t="s">
        <v>15</v>
      </c>
      <c r="G566">
        <v>193492.79</v>
      </c>
      <c r="H566">
        <v>92830.65</v>
      </c>
      <c r="I566" t="s">
        <v>49</v>
      </c>
      <c r="J566" t="s">
        <v>41</v>
      </c>
      <c r="K566">
        <v>100662.14000000001</v>
      </c>
      <c r="L566">
        <v>0.52023716232527328</v>
      </c>
    </row>
    <row r="567" spans="1:12" x14ac:dyDescent="0.35">
      <c r="A567" t="s">
        <v>2019</v>
      </c>
      <c r="B567" s="1">
        <v>46052</v>
      </c>
      <c r="C567" t="s">
        <v>52</v>
      </c>
      <c r="D567" t="s">
        <v>23</v>
      </c>
      <c r="E567" t="s">
        <v>24</v>
      </c>
      <c r="F567" t="s">
        <v>25</v>
      </c>
      <c r="G567">
        <v>59507.15</v>
      </c>
      <c r="H567">
        <v>29828.95</v>
      </c>
      <c r="I567" t="s">
        <v>18</v>
      </c>
      <c r="J567" t="s">
        <v>41</v>
      </c>
      <c r="K567">
        <v>29678.2</v>
      </c>
      <c r="L567">
        <v>0.49873334548873538</v>
      </c>
    </row>
    <row r="568" spans="1:12" x14ac:dyDescent="0.35">
      <c r="A568" t="s">
        <v>2022</v>
      </c>
      <c r="B568" s="1">
        <v>46153</v>
      </c>
      <c r="C568" t="s">
        <v>67</v>
      </c>
      <c r="D568" t="s">
        <v>36</v>
      </c>
      <c r="E568" t="s">
        <v>45</v>
      </c>
      <c r="F568" t="s">
        <v>46</v>
      </c>
      <c r="G568">
        <v>389400.05</v>
      </c>
      <c r="H568">
        <v>317275.62</v>
      </c>
      <c r="I568" t="s">
        <v>49</v>
      </c>
      <c r="J568" t="s">
        <v>41</v>
      </c>
      <c r="K568">
        <v>72124.429999999993</v>
      </c>
      <c r="L568">
        <v>0.18521936502062594</v>
      </c>
    </row>
    <row r="569" spans="1:12" x14ac:dyDescent="0.35">
      <c r="A569" t="s">
        <v>2025</v>
      </c>
      <c r="B569" s="1">
        <v>46036</v>
      </c>
      <c r="C569" t="s">
        <v>99</v>
      </c>
      <c r="D569" t="s">
        <v>23</v>
      </c>
      <c r="E569" t="s">
        <v>45</v>
      </c>
      <c r="F569" t="s">
        <v>15</v>
      </c>
      <c r="G569">
        <v>116589.27</v>
      </c>
      <c r="H569">
        <v>46885.98</v>
      </c>
      <c r="I569" t="s">
        <v>32</v>
      </c>
      <c r="J569" t="s">
        <v>19</v>
      </c>
      <c r="K569">
        <v>69703.290000000008</v>
      </c>
      <c r="L569">
        <v>0.59785338736574989</v>
      </c>
    </row>
    <row r="570" spans="1:12" x14ac:dyDescent="0.35">
      <c r="A570" t="s">
        <v>2028</v>
      </c>
      <c r="B570" s="1">
        <v>46165</v>
      </c>
      <c r="C570" t="s">
        <v>99</v>
      </c>
      <c r="D570" t="s">
        <v>36</v>
      </c>
      <c r="E570" t="s">
        <v>24</v>
      </c>
      <c r="F570" t="s">
        <v>46</v>
      </c>
      <c r="G570">
        <v>106402.01</v>
      </c>
      <c r="H570">
        <v>100514.35</v>
      </c>
      <c r="I570" t="s">
        <v>18</v>
      </c>
      <c r="J570" t="s">
        <v>19</v>
      </c>
      <c r="K570">
        <v>5887.6599999999889</v>
      </c>
      <c r="L570">
        <v>5.5334105060609186E-2</v>
      </c>
    </row>
    <row r="571" spans="1:12" x14ac:dyDescent="0.35">
      <c r="A571" t="s">
        <v>2031</v>
      </c>
      <c r="B571" s="1">
        <v>46031</v>
      </c>
      <c r="C571" t="s">
        <v>3383</v>
      </c>
      <c r="D571" t="s">
        <v>36</v>
      </c>
      <c r="E571" t="s">
        <v>45</v>
      </c>
      <c r="F571" t="s">
        <v>25</v>
      </c>
      <c r="G571">
        <v>188738.4</v>
      </c>
      <c r="H571">
        <v>94639.46</v>
      </c>
      <c r="I571" t="s">
        <v>18</v>
      </c>
      <c r="J571" t="s">
        <v>41</v>
      </c>
      <c r="K571">
        <v>94098.939999999988</v>
      </c>
      <c r="L571">
        <v>0.49856807093839933</v>
      </c>
    </row>
    <row r="572" spans="1:12" x14ac:dyDescent="0.35">
      <c r="A572" t="s">
        <v>2034</v>
      </c>
      <c r="B572" s="1">
        <v>46049</v>
      </c>
      <c r="C572" t="s">
        <v>12</v>
      </c>
      <c r="D572" t="s">
        <v>23</v>
      </c>
      <c r="E572" t="s">
        <v>134</v>
      </c>
      <c r="F572" t="s">
        <v>38</v>
      </c>
      <c r="G572">
        <v>388102.14</v>
      </c>
      <c r="H572">
        <v>268211.03000000003</v>
      </c>
      <c r="I572" t="s">
        <v>32</v>
      </c>
      <c r="J572" t="s">
        <v>19</v>
      </c>
      <c r="K572">
        <v>119891.10999999999</v>
      </c>
      <c r="L572">
        <v>0.3089163847434595</v>
      </c>
    </row>
    <row r="573" spans="1:12" x14ac:dyDescent="0.35">
      <c r="A573" t="s">
        <v>2037</v>
      </c>
      <c r="B573" s="1">
        <v>46141</v>
      </c>
      <c r="C573" t="s">
        <v>99</v>
      </c>
      <c r="D573" t="s">
        <v>23</v>
      </c>
      <c r="E573" t="s">
        <v>109</v>
      </c>
      <c r="F573" t="s">
        <v>25</v>
      </c>
      <c r="G573">
        <v>414119.33</v>
      </c>
      <c r="H573">
        <v>174344.62</v>
      </c>
      <c r="I573" t="s">
        <v>18</v>
      </c>
      <c r="J573" t="s">
        <v>41</v>
      </c>
      <c r="K573">
        <v>239774.71000000002</v>
      </c>
      <c r="L573">
        <v>0.57899907739153356</v>
      </c>
    </row>
    <row r="574" spans="1:12" x14ac:dyDescent="0.35">
      <c r="A574" t="s">
        <v>2040</v>
      </c>
      <c r="B574" s="1">
        <v>46026</v>
      </c>
      <c r="C574" t="s">
        <v>12</v>
      </c>
      <c r="D574" t="s">
        <v>36</v>
      </c>
      <c r="E574" t="s">
        <v>14</v>
      </c>
      <c r="F574" t="s">
        <v>38</v>
      </c>
      <c r="G574">
        <v>88323.15</v>
      </c>
      <c r="H574">
        <v>54043.62</v>
      </c>
      <c r="I574" t="s">
        <v>18</v>
      </c>
      <c r="J574" t="s">
        <v>19</v>
      </c>
      <c r="K574">
        <v>34279.529999999992</v>
      </c>
      <c r="L574">
        <v>0.38811489400004406</v>
      </c>
    </row>
    <row r="575" spans="1:12" x14ac:dyDescent="0.35">
      <c r="A575" t="s">
        <v>2044</v>
      </c>
      <c r="B575" s="1">
        <v>46202</v>
      </c>
      <c r="C575" t="s">
        <v>67</v>
      </c>
      <c r="D575" t="s">
        <v>36</v>
      </c>
      <c r="E575" t="s">
        <v>24</v>
      </c>
      <c r="F575" t="s">
        <v>15</v>
      </c>
      <c r="G575">
        <v>293927.52</v>
      </c>
      <c r="H575">
        <v>164832.57999999999</v>
      </c>
      <c r="I575" t="s">
        <v>49</v>
      </c>
      <c r="J575" t="s">
        <v>41</v>
      </c>
      <c r="K575">
        <v>129094.94000000003</v>
      </c>
      <c r="L575">
        <v>0.43920671327407529</v>
      </c>
    </row>
    <row r="576" spans="1:12" x14ac:dyDescent="0.35">
      <c r="A576" t="s">
        <v>2048</v>
      </c>
      <c r="B576" s="1">
        <v>46031</v>
      </c>
      <c r="C576" t="s">
        <v>12</v>
      </c>
      <c r="D576" t="s">
        <v>36</v>
      </c>
      <c r="E576" t="s">
        <v>37</v>
      </c>
      <c r="F576" t="s">
        <v>74</v>
      </c>
      <c r="G576">
        <v>180017.99</v>
      </c>
      <c r="H576">
        <v>118817.3</v>
      </c>
      <c r="I576" t="s">
        <v>18</v>
      </c>
      <c r="J576" t="s">
        <v>41</v>
      </c>
      <c r="K576">
        <v>61200.689999999988</v>
      </c>
      <c r="L576">
        <v>0.33996985523502399</v>
      </c>
    </row>
    <row r="577" spans="1:12" x14ac:dyDescent="0.35">
      <c r="A577" t="s">
        <v>2051</v>
      </c>
      <c r="B577" s="1">
        <v>46163</v>
      </c>
      <c r="C577" t="s">
        <v>12</v>
      </c>
      <c r="D577" t="s">
        <v>36</v>
      </c>
      <c r="E577" t="s">
        <v>45</v>
      </c>
      <c r="F577" t="s">
        <v>38</v>
      </c>
      <c r="G577">
        <v>310631.51</v>
      </c>
      <c r="H577">
        <v>204628.32</v>
      </c>
      <c r="I577" t="s">
        <v>32</v>
      </c>
      <c r="J577" t="s">
        <v>19</v>
      </c>
      <c r="K577">
        <v>106003.19</v>
      </c>
      <c r="L577">
        <v>0.34125060268354618</v>
      </c>
    </row>
    <row r="578" spans="1:12" x14ac:dyDescent="0.35">
      <c r="A578" t="s">
        <v>2054</v>
      </c>
      <c r="B578" s="1">
        <v>46047</v>
      </c>
      <c r="C578" t="s">
        <v>99</v>
      </c>
      <c r="D578" t="s">
        <v>23</v>
      </c>
      <c r="E578" t="s">
        <v>134</v>
      </c>
      <c r="F578" t="s">
        <v>15</v>
      </c>
      <c r="G578">
        <v>222447.68</v>
      </c>
      <c r="H578">
        <v>139416.39000000001</v>
      </c>
      <c r="I578" t="s">
        <v>32</v>
      </c>
      <c r="J578" t="s">
        <v>41</v>
      </c>
      <c r="K578">
        <v>83031.289999999979</v>
      </c>
      <c r="L578">
        <v>0.37326210819550909</v>
      </c>
    </row>
    <row r="579" spans="1:12" x14ac:dyDescent="0.35">
      <c r="A579" t="s">
        <v>2058</v>
      </c>
      <c r="B579" s="1">
        <v>46060</v>
      </c>
      <c r="C579" t="s">
        <v>12</v>
      </c>
      <c r="D579" t="s">
        <v>36</v>
      </c>
      <c r="E579" t="s">
        <v>134</v>
      </c>
      <c r="F579" t="s">
        <v>15</v>
      </c>
      <c r="G579">
        <v>253446.01</v>
      </c>
      <c r="H579">
        <v>183433.74</v>
      </c>
      <c r="I579" t="s">
        <v>32</v>
      </c>
      <c r="J579" t="s">
        <v>41</v>
      </c>
      <c r="K579">
        <v>70012.270000000019</v>
      </c>
      <c r="L579">
        <v>0.27624135807069922</v>
      </c>
    </row>
    <row r="580" spans="1:12" x14ac:dyDescent="0.35">
      <c r="A580" t="s">
        <v>2061</v>
      </c>
      <c r="B580" s="1">
        <v>46043</v>
      </c>
      <c r="C580" t="s">
        <v>12</v>
      </c>
      <c r="D580" t="s">
        <v>23</v>
      </c>
      <c r="E580" t="s">
        <v>24</v>
      </c>
      <c r="F580" t="s">
        <v>46</v>
      </c>
      <c r="G580">
        <v>234995.14</v>
      </c>
      <c r="H580">
        <v>203224.44</v>
      </c>
      <c r="I580" t="s">
        <v>49</v>
      </c>
      <c r="J580" t="s">
        <v>19</v>
      </c>
      <c r="K580">
        <v>31770.700000000012</v>
      </c>
      <c r="L580">
        <v>0.1351972640795891</v>
      </c>
    </row>
    <row r="581" spans="1:12" x14ac:dyDescent="0.35">
      <c r="A581" t="s">
        <v>2064</v>
      </c>
      <c r="B581" s="1">
        <v>46113</v>
      </c>
      <c r="C581" t="s">
        <v>12</v>
      </c>
      <c r="D581" t="s">
        <v>53</v>
      </c>
      <c r="E581" t="s">
        <v>109</v>
      </c>
      <c r="F581" t="s">
        <v>38</v>
      </c>
      <c r="G581">
        <v>121961.78</v>
      </c>
      <c r="H581">
        <v>91345.02</v>
      </c>
      <c r="I581" t="s">
        <v>32</v>
      </c>
      <c r="J581" t="s">
        <v>41</v>
      </c>
      <c r="K581">
        <v>30616.759999999995</v>
      </c>
      <c r="L581">
        <v>0.25103569331310183</v>
      </c>
    </row>
    <row r="582" spans="1:12" x14ac:dyDescent="0.35">
      <c r="A582" t="s">
        <v>2067</v>
      </c>
      <c r="B582" s="1">
        <v>46138</v>
      </c>
      <c r="C582" t="s">
        <v>99</v>
      </c>
      <c r="D582" t="s">
        <v>36</v>
      </c>
      <c r="E582" t="s">
        <v>134</v>
      </c>
      <c r="F582" t="s">
        <v>46</v>
      </c>
      <c r="G582">
        <v>360686.66</v>
      </c>
      <c r="H582">
        <v>158978.9</v>
      </c>
      <c r="I582" t="s">
        <v>18</v>
      </c>
      <c r="J582" t="s">
        <v>41</v>
      </c>
      <c r="K582">
        <v>201707.75999999998</v>
      </c>
      <c r="L582">
        <v>0.55923265917292309</v>
      </c>
    </row>
    <row r="583" spans="1:12" x14ac:dyDescent="0.35">
      <c r="A583" t="s">
        <v>2071</v>
      </c>
      <c r="B583" s="1">
        <v>46170</v>
      </c>
      <c r="C583" t="s">
        <v>99</v>
      </c>
      <c r="D583" t="s">
        <v>53</v>
      </c>
      <c r="E583" t="s">
        <v>109</v>
      </c>
      <c r="F583" t="s">
        <v>46</v>
      </c>
      <c r="G583">
        <v>170862.89</v>
      </c>
      <c r="H583">
        <v>161064.72</v>
      </c>
      <c r="I583" t="s">
        <v>32</v>
      </c>
      <c r="J583" t="s">
        <v>41</v>
      </c>
      <c r="K583">
        <v>9798.1700000000128</v>
      </c>
      <c r="L583">
        <v>5.7345219901173458E-2</v>
      </c>
    </row>
    <row r="584" spans="1:12" x14ac:dyDescent="0.35">
      <c r="A584" t="s">
        <v>2075</v>
      </c>
      <c r="B584" s="1">
        <v>46086</v>
      </c>
      <c r="C584" t="s">
        <v>52</v>
      </c>
      <c r="D584" t="s">
        <v>53</v>
      </c>
      <c r="E584" t="s">
        <v>134</v>
      </c>
      <c r="F584" t="s">
        <v>38</v>
      </c>
      <c r="G584">
        <v>224236.26</v>
      </c>
      <c r="H584">
        <v>196437.33</v>
      </c>
      <c r="I584" t="s">
        <v>18</v>
      </c>
      <c r="J584" t="s">
        <v>41</v>
      </c>
      <c r="K584">
        <v>27798.930000000022</v>
      </c>
      <c r="L584">
        <v>0.12397160923037166</v>
      </c>
    </row>
    <row r="585" spans="1:12" x14ac:dyDescent="0.35">
      <c r="A585" t="s">
        <v>2078</v>
      </c>
      <c r="B585" s="1">
        <v>46059</v>
      </c>
      <c r="C585" t="s">
        <v>12</v>
      </c>
      <c r="D585" t="s">
        <v>53</v>
      </c>
      <c r="E585" t="s">
        <v>14</v>
      </c>
      <c r="F585" t="s">
        <v>74</v>
      </c>
      <c r="G585">
        <v>278085.61</v>
      </c>
      <c r="H585">
        <v>147272.95000000001</v>
      </c>
      <c r="I585" t="s">
        <v>32</v>
      </c>
      <c r="J585" t="s">
        <v>19</v>
      </c>
      <c r="K585">
        <v>130812.65999999997</v>
      </c>
      <c r="L585">
        <v>0.47040427586310551</v>
      </c>
    </row>
    <row r="586" spans="1:12" x14ac:dyDescent="0.35">
      <c r="A586" t="s">
        <v>2081</v>
      </c>
      <c r="B586" s="1">
        <v>46184</v>
      </c>
      <c r="C586" t="s">
        <v>52</v>
      </c>
      <c r="D586" t="s">
        <v>23</v>
      </c>
      <c r="E586" t="s">
        <v>14</v>
      </c>
      <c r="F586" t="s">
        <v>38</v>
      </c>
      <c r="G586">
        <v>374187.94</v>
      </c>
      <c r="H586">
        <v>334119.61</v>
      </c>
      <c r="I586" t="s">
        <v>32</v>
      </c>
      <c r="J586" t="s">
        <v>41</v>
      </c>
      <c r="K586">
        <v>40068.330000000016</v>
      </c>
      <c r="L586">
        <v>0.10708076267770687</v>
      </c>
    </row>
    <row r="587" spans="1:12" x14ac:dyDescent="0.35">
      <c r="A587" t="s">
        <v>2084</v>
      </c>
      <c r="B587" s="1">
        <v>46089</v>
      </c>
      <c r="C587" t="s">
        <v>3383</v>
      </c>
      <c r="D587" t="s">
        <v>36</v>
      </c>
      <c r="E587" t="s">
        <v>24</v>
      </c>
      <c r="F587" t="s">
        <v>25</v>
      </c>
      <c r="G587">
        <v>137896.46</v>
      </c>
      <c r="H587">
        <v>115512.1</v>
      </c>
      <c r="I587" t="s">
        <v>32</v>
      </c>
      <c r="J587" t="s">
        <v>41</v>
      </c>
      <c r="K587">
        <v>22384.359999999986</v>
      </c>
      <c r="L587">
        <v>0.16232729977259741</v>
      </c>
    </row>
    <row r="588" spans="1:12" x14ac:dyDescent="0.35">
      <c r="A588" t="s">
        <v>2088</v>
      </c>
      <c r="B588" s="1">
        <v>46136</v>
      </c>
      <c r="C588" t="s">
        <v>3383</v>
      </c>
      <c r="D588" t="s">
        <v>23</v>
      </c>
      <c r="E588" t="s">
        <v>134</v>
      </c>
      <c r="F588" t="s">
        <v>38</v>
      </c>
      <c r="G588">
        <v>65523.34</v>
      </c>
      <c r="H588">
        <v>34254.9</v>
      </c>
      <c r="I588" t="s">
        <v>18</v>
      </c>
      <c r="J588" t="s">
        <v>41</v>
      </c>
      <c r="K588">
        <v>31268.439999999995</v>
      </c>
      <c r="L588">
        <v>0.47721071605934612</v>
      </c>
    </row>
    <row r="589" spans="1:12" x14ac:dyDescent="0.35">
      <c r="A589" t="s">
        <v>2091</v>
      </c>
      <c r="B589" s="1">
        <v>46092</v>
      </c>
      <c r="C589" t="s">
        <v>3383</v>
      </c>
      <c r="D589" t="s">
        <v>36</v>
      </c>
      <c r="E589" t="s">
        <v>109</v>
      </c>
      <c r="F589" t="s">
        <v>25</v>
      </c>
      <c r="G589">
        <v>463458.88</v>
      </c>
      <c r="H589">
        <v>275935.83</v>
      </c>
      <c r="I589" t="s">
        <v>49</v>
      </c>
      <c r="J589" t="s">
        <v>41</v>
      </c>
      <c r="K589">
        <v>187523.05</v>
      </c>
      <c r="L589">
        <v>0.40461637071232726</v>
      </c>
    </row>
    <row r="590" spans="1:12" x14ac:dyDescent="0.35">
      <c r="A590" t="s">
        <v>2095</v>
      </c>
      <c r="B590" s="1">
        <v>46176</v>
      </c>
      <c r="C590" t="s">
        <v>3383</v>
      </c>
      <c r="D590" t="s">
        <v>36</v>
      </c>
      <c r="E590" t="s">
        <v>24</v>
      </c>
      <c r="F590" t="s">
        <v>46</v>
      </c>
      <c r="G590">
        <v>316143.84000000003</v>
      </c>
      <c r="H590">
        <v>171610.7</v>
      </c>
      <c r="I590" t="s">
        <v>18</v>
      </c>
      <c r="J590" t="s">
        <v>41</v>
      </c>
      <c r="K590">
        <v>144533.14000000001</v>
      </c>
      <c r="L590">
        <v>0.45717525288488936</v>
      </c>
    </row>
    <row r="591" spans="1:12" x14ac:dyDescent="0.35">
      <c r="A591" t="s">
        <v>2099</v>
      </c>
      <c r="B591" s="1">
        <v>46077</v>
      </c>
      <c r="C591" t="s">
        <v>67</v>
      </c>
      <c r="D591" t="s">
        <v>23</v>
      </c>
      <c r="E591" t="s">
        <v>45</v>
      </c>
      <c r="F591" t="s">
        <v>74</v>
      </c>
      <c r="G591">
        <v>423653.56</v>
      </c>
      <c r="H591">
        <v>300558.25</v>
      </c>
      <c r="I591" t="s">
        <v>49</v>
      </c>
      <c r="J591" t="s">
        <v>41</v>
      </c>
      <c r="K591">
        <v>123095.31</v>
      </c>
      <c r="L591">
        <v>0.2905565339755436</v>
      </c>
    </row>
    <row r="592" spans="1:12" x14ac:dyDescent="0.35">
      <c r="A592" t="s">
        <v>2102</v>
      </c>
      <c r="B592" s="1">
        <v>46154</v>
      </c>
      <c r="C592" t="s">
        <v>67</v>
      </c>
      <c r="D592" t="s">
        <v>36</v>
      </c>
      <c r="E592" t="s">
        <v>134</v>
      </c>
      <c r="F592" t="s">
        <v>74</v>
      </c>
      <c r="G592">
        <v>163784.54999999999</v>
      </c>
      <c r="H592">
        <v>147421.26999999999</v>
      </c>
      <c r="I592" t="s">
        <v>32</v>
      </c>
      <c r="J592" t="s">
        <v>19</v>
      </c>
      <c r="K592">
        <v>16363.279999999999</v>
      </c>
      <c r="L592">
        <v>9.9907347793183179E-2</v>
      </c>
    </row>
    <row r="593" spans="1:12" x14ac:dyDescent="0.35">
      <c r="A593" t="s">
        <v>2106</v>
      </c>
      <c r="B593" s="1">
        <v>46040</v>
      </c>
      <c r="C593" t="s">
        <v>67</v>
      </c>
      <c r="D593" t="s">
        <v>36</v>
      </c>
      <c r="E593" t="s">
        <v>45</v>
      </c>
      <c r="F593" t="s">
        <v>15</v>
      </c>
      <c r="G593">
        <v>300124.87</v>
      </c>
      <c r="H593">
        <v>207965.11</v>
      </c>
      <c r="I593" t="s">
        <v>18</v>
      </c>
      <c r="J593" t="s">
        <v>41</v>
      </c>
      <c r="K593">
        <v>92159.760000000009</v>
      </c>
      <c r="L593">
        <v>0.30707138665316208</v>
      </c>
    </row>
    <row r="594" spans="1:12" x14ac:dyDescent="0.35">
      <c r="A594" t="s">
        <v>2109</v>
      </c>
      <c r="B594" s="1">
        <v>46185</v>
      </c>
      <c r="C594" t="s">
        <v>99</v>
      </c>
      <c r="D594" t="s">
        <v>53</v>
      </c>
      <c r="E594" t="s">
        <v>24</v>
      </c>
      <c r="F594" t="s">
        <v>25</v>
      </c>
      <c r="G594">
        <v>402281.37</v>
      </c>
      <c r="H594">
        <v>351441.91</v>
      </c>
      <c r="I594" t="s">
        <v>18</v>
      </c>
      <c r="J594" t="s">
        <v>19</v>
      </c>
      <c r="K594">
        <v>50839.460000000021</v>
      </c>
      <c r="L594">
        <v>0.12637786333480971</v>
      </c>
    </row>
    <row r="595" spans="1:12" x14ac:dyDescent="0.35">
      <c r="A595" t="s">
        <v>2112</v>
      </c>
      <c r="B595" s="1">
        <v>46109</v>
      </c>
      <c r="C595" t="s">
        <v>67</v>
      </c>
      <c r="D595" t="s">
        <v>53</v>
      </c>
      <c r="E595" t="s">
        <v>24</v>
      </c>
      <c r="F595" t="s">
        <v>25</v>
      </c>
      <c r="G595">
        <v>70058.94</v>
      </c>
      <c r="H595">
        <v>37722.57</v>
      </c>
      <c r="I595" t="s">
        <v>49</v>
      </c>
      <c r="J595" t="s">
        <v>19</v>
      </c>
      <c r="K595">
        <v>32336.370000000003</v>
      </c>
      <c r="L595">
        <v>0.46155950974993343</v>
      </c>
    </row>
    <row r="596" spans="1:12" x14ac:dyDescent="0.35">
      <c r="A596" t="s">
        <v>2115</v>
      </c>
      <c r="B596" s="1">
        <v>46198</v>
      </c>
      <c r="C596" t="s">
        <v>3383</v>
      </c>
      <c r="D596" t="s">
        <v>53</v>
      </c>
      <c r="E596" t="s">
        <v>37</v>
      </c>
      <c r="F596" t="s">
        <v>25</v>
      </c>
      <c r="G596">
        <v>390896.5</v>
      </c>
      <c r="H596">
        <v>173842.08</v>
      </c>
      <c r="I596" t="s">
        <v>49</v>
      </c>
      <c r="J596" t="s">
        <v>41</v>
      </c>
      <c r="K596">
        <v>217054.42</v>
      </c>
      <c r="L596">
        <v>0.55527337799136089</v>
      </c>
    </row>
    <row r="597" spans="1:12" x14ac:dyDescent="0.35">
      <c r="A597" t="s">
        <v>2118</v>
      </c>
      <c r="B597" s="1">
        <v>46100</v>
      </c>
      <c r="C597" t="s">
        <v>12</v>
      </c>
      <c r="D597" t="s">
        <v>36</v>
      </c>
      <c r="E597" t="s">
        <v>134</v>
      </c>
      <c r="F597" t="s">
        <v>74</v>
      </c>
      <c r="G597">
        <v>288979.93</v>
      </c>
      <c r="H597">
        <v>235685.55</v>
      </c>
      <c r="I597" t="s">
        <v>18</v>
      </c>
      <c r="J597" t="s">
        <v>19</v>
      </c>
      <c r="K597">
        <v>53294.380000000005</v>
      </c>
      <c r="L597">
        <v>0.18442242684466012</v>
      </c>
    </row>
    <row r="598" spans="1:12" x14ac:dyDescent="0.35">
      <c r="A598" t="s">
        <v>2121</v>
      </c>
      <c r="B598" s="1">
        <v>46175</v>
      </c>
      <c r="C598" t="s">
        <v>99</v>
      </c>
      <c r="D598" t="s">
        <v>23</v>
      </c>
      <c r="E598" t="s">
        <v>37</v>
      </c>
      <c r="F598" t="s">
        <v>46</v>
      </c>
      <c r="G598">
        <v>357599.63</v>
      </c>
      <c r="H598">
        <v>329000.03999999998</v>
      </c>
      <c r="I598" t="s">
        <v>49</v>
      </c>
      <c r="J598" t="s">
        <v>19</v>
      </c>
      <c r="K598">
        <v>28599.590000000026</v>
      </c>
      <c r="L598">
        <v>7.9976564852709792E-2</v>
      </c>
    </row>
    <row r="599" spans="1:12" x14ac:dyDescent="0.35">
      <c r="A599" t="s">
        <v>2124</v>
      </c>
      <c r="B599" s="1">
        <v>46103</v>
      </c>
      <c r="C599" t="s">
        <v>12</v>
      </c>
      <c r="D599" t="s">
        <v>23</v>
      </c>
      <c r="E599" t="s">
        <v>45</v>
      </c>
      <c r="F599" t="s">
        <v>15</v>
      </c>
      <c r="G599">
        <v>170574.77</v>
      </c>
      <c r="H599">
        <v>147808.45000000001</v>
      </c>
      <c r="I599" t="s">
        <v>32</v>
      </c>
      <c r="J599" t="s">
        <v>41</v>
      </c>
      <c r="K599">
        <v>22766.319999999978</v>
      </c>
      <c r="L599">
        <v>0.13346827318014251</v>
      </c>
    </row>
    <row r="600" spans="1:12" x14ac:dyDescent="0.35">
      <c r="A600" t="s">
        <v>2127</v>
      </c>
      <c r="B600" s="1">
        <v>46109</v>
      </c>
      <c r="C600" t="s">
        <v>3383</v>
      </c>
      <c r="D600" t="s">
        <v>53</v>
      </c>
      <c r="E600" t="s">
        <v>109</v>
      </c>
      <c r="F600" t="s">
        <v>25</v>
      </c>
      <c r="G600">
        <v>51339.54</v>
      </c>
      <c r="H600">
        <v>26796.46</v>
      </c>
      <c r="I600" t="s">
        <v>49</v>
      </c>
      <c r="J600" t="s">
        <v>19</v>
      </c>
      <c r="K600">
        <v>24543.08</v>
      </c>
      <c r="L600">
        <v>0.47805414695963389</v>
      </c>
    </row>
    <row r="601" spans="1:12" x14ac:dyDescent="0.35">
      <c r="A601" t="s">
        <v>2130</v>
      </c>
      <c r="B601" s="1">
        <v>46114</v>
      </c>
      <c r="C601" t="s">
        <v>12</v>
      </c>
      <c r="D601" t="s">
        <v>53</v>
      </c>
      <c r="E601" t="s">
        <v>37</v>
      </c>
      <c r="F601" t="s">
        <v>15</v>
      </c>
      <c r="G601">
        <v>482176.54</v>
      </c>
      <c r="H601">
        <v>226764.48</v>
      </c>
      <c r="I601" t="s">
        <v>49</v>
      </c>
      <c r="J601" t="s">
        <v>41</v>
      </c>
      <c r="K601">
        <v>255412.05999999997</v>
      </c>
      <c r="L601">
        <v>0.529706526161559</v>
      </c>
    </row>
    <row r="602" spans="1:12" x14ac:dyDescent="0.35">
      <c r="A602" t="s">
        <v>2133</v>
      </c>
      <c r="B602" s="1">
        <v>46039</v>
      </c>
      <c r="C602" t="s">
        <v>12</v>
      </c>
      <c r="D602" t="s">
        <v>36</v>
      </c>
      <c r="E602" t="s">
        <v>109</v>
      </c>
      <c r="F602" t="s">
        <v>46</v>
      </c>
      <c r="G602">
        <v>318046.86</v>
      </c>
      <c r="H602">
        <v>200005.38</v>
      </c>
      <c r="I602" t="s">
        <v>49</v>
      </c>
      <c r="J602" t="s">
        <v>19</v>
      </c>
      <c r="K602">
        <v>118041.47999999998</v>
      </c>
      <c r="L602">
        <v>0.37114493128465403</v>
      </c>
    </row>
    <row r="603" spans="1:12" x14ac:dyDescent="0.35">
      <c r="A603" t="s">
        <v>2136</v>
      </c>
      <c r="B603" s="1">
        <v>46185</v>
      </c>
      <c r="C603" t="s">
        <v>12</v>
      </c>
      <c r="D603" t="s">
        <v>53</v>
      </c>
      <c r="E603" t="s">
        <v>37</v>
      </c>
      <c r="F603" t="s">
        <v>25</v>
      </c>
      <c r="G603">
        <v>274951.5</v>
      </c>
      <c r="H603">
        <v>157900.79999999999</v>
      </c>
      <c r="I603" t="s">
        <v>32</v>
      </c>
      <c r="J603" t="s">
        <v>19</v>
      </c>
      <c r="K603">
        <v>117050.70000000001</v>
      </c>
      <c r="L603">
        <v>0.42571398955815848</v>
      </c>
    </row>
    <row r="604" spans="1:12" x14ac:dyDescent="0.35">
      <c r="A604" t="s">
        <v>2139</v>
      </c>
      <c r="B604" s="1">
        <v>46122</v>
      </c>
      <c r="C604" t="s">
        <v>12</v>
      </c>
      <c r="D604" t="s">
        <v>53</v>
      </c>
      <c r="E604" t="s">
        <v>109</v>
      </c>
      <c r="F604" t="s">
        <v>15</v>
      </c>
      <c r="G604">
        <v>216028.83</v>
      </c>
      <c r="H604">
        <v>147399.79</v>
      </c>
      <c r="I604" t="s">
        <v>49</v>
      </c>
      <c r="J604" t="s">
        <v>41</v>
      </c>
      <c r="K604">
        <v>68629.039999999979</v>
      </c>
      <c r="L604">
        <v>0.3176846349628426</v>
      </c>
    </row>
    <row r="605" spans="1:12" x14ac:dyDescent="0.35">
      <c r="A605" t="s">
        <v>2142</v>
      </c>
      <c r="B605" s="1">
        <v>46053</v>
      </c>
      <c r="C605" t="s">
        <v>12</v>
      </c>
      <c r="D605" t="s">
        <v>36</v>
      </c>
      <c r="E605" t="s">
        <v>134</v>
      </c>
      <c r="F605" t="s">
        <v>79</v>
      </c>
      <c r="G605">
        <v>215078.49</v>
      </c>
      <c r="H605">
        <v>160924.03</v>
      </c>
      <c r="I605" t="s">
        <v>18</v>
      </c>
      <c r="J605" t="s">
        <v>19</v>
      </c>
      <c r="K605">
        <v>54154.459999999992</v>
      </c>
      <c r="L605">
        <v>0.2517892886452755</v>
      </c>
    </row>
    <row r="606" spans="1:12" x14ac:dyDescent="0.35">
      <c r="A606" t="s">
        <v>2145</v>
      </c>
      <c r="B606" s="1">
        <v>46049</v>
      </c>
      <c r="C606" t="s">
        <v>52</v>
      </c>
      <c r="D606" t="s">
        <v>53</v>
      </c>
      <c r="E606" t="s">
        <v>45</v>
      </c>
      <c r="F606" t="s">
        <v>74</v>
      </c>
      <c r="G606">
        <v>103507.12</v>
      </c>
      <c r="H606">
        <v>74143.11</v>
      </c>
      <c r="I606" t="s">
        <v>18</v>
      </c>
      <c r="J606" t="s">
        <v>41</v>
      </c>
      <c r="K606">
        <v>29364.009999999995</v>
      </c>
      <c r="L606">
        <v>0.28369072581673604</v>
      </c>
    </row>
    <row r="607" spans="1:12" x14ac:dyDescent="0.35">
      <c r="A607" t="s">
        <v>2148</v>
      </c>
      <c r="B607" s="1">
        <v>46128</v>
      </c>
      <c r="C607" t="s">
        <v>12</v>
      </c>
      <c r="D607" t="s">
        <v>53</v>
      </c>
      <c r="E607" t="s">
        <v>109</v>
      </c>
      <c r="F607" t="s">
        <v>25</v>
      </c>
      <c r="G607">
        <v>490975.93</v>
      </c>
      <c r="H607">
        <v>228426.86</v>
      </c>
      <c r="I607" t="s">
        <v>18</v>
      </c>
      <c r="J607" t="s">
        <v>41</v>
      </c>
      <c r="K607">
        <v>262549.07</v>
      </c>
      <c r="L607">
        <v>0.53474937152214364</v>
      </c>
    </row>
    <row r="608" spans="1:12" x14ac:dyDescent="0.35">
      <c r="A608" t="s">
        <v>2152</v>
      </c>
      <c r="B608" s="1">
        <v>46047</v>
      </c>
      <c r="C608" t="s">
        <v>12</v>
      </c>
      <c r="D608" t="s">
        <v>23</v>
      </c>
      <c r="E608" t="s">
        <v>14</v>
      </c>
      <c r="F608" t="s">
        <v>46</v>
      </c>
      <c r="G608">
        <v>207000.94</v>
      </c>
      <c r="H608">
        <v>174003.03</v>
      </c>
      <c r="I608" t="s">
        <v>49</v>
      </c>
      <c r="J608" t="s">
        <v>41</v>
      </c>
      <c r="K608">
        <v>32997.910000000003</v>
      </c>
      <c r="L608">
        <v>0.15940946934830347</v>
      </c>
    </row>
    <row r="609" spans="1:12" x14ac:dyDescent="0.35">
      <c r="A609" t="s">
        <v>2155</v>
      </c>
      <c r="B609" s="1">
        <v>46085</v>
      </c>
      <c r="C609" t="s">
        <v>3383</v>
      </c>
      <c r="D609" t="s">
        <v>23</v>
      </c>
      <c r="E609" t="s">
        <v>45</v>
      </c>
      <c r="F609" t="s">
        <v>38</v>
      </c>
      <c r="G609">
        <v>420566.05</v>
      </c>
      <c r="H609">
        <v>208585.05</v>
      </c>
      <c r="I609" t="s">
        <v>18</v>
      </c>
      <c r="J609" t="s">
        <v>41</v>
      </c>
      <c r="K609">
        <v>211981</v>
      </c>
      <c r="L609">
        <v>0.50403735632013091</v>
      </c>
    </row>
    <row r="610" spans="1:12" x14ac:dyDescent="0.35">
      <c r="A610" t="s">
        <v>2159</v>
      </c>
      <c r="B610" s="1">
        <v>46094</v>
      </c>
      <c r="C610" t="s">
        <v>12</v>
      </c>
      <c r="D610" t="s">
        <v>36</v>
      </c>
      <c r="E610" t="s">
        <v>14</v>
      </c>
      <c r="F610" t="s">
        <v>46</v>
      </c>
      <c r="G610">
        <v>351097.93</v>
      </c>
      <c r="H610">
        <v>315951.11</v>
      </c>
      <c r="I610" t="s">
        <v>49</v>
      </c>
      <c r="J610" t="s">
        <v>41</v>
      </c>
      <c r="K610">
        <v>35146.820000000007</v>
      </c>
      <c r="L610">
        <v>0.10010546060468088</v>
      </c>
    </row>
    <row r="611" spans="1:12" x14ac:dyDescent="0.35">
      <c r="A611" t="s">
        <v>2162</v>
      </c>
      <c r="B611" s="1">
        <v>46179</v>
      </c>
      <c r="C611" t="s">
        <v>99</v>
      </c>
      <c r="D611" t="s">
        <v>36</v>
      </c>
      <c r="E611" t="s">
        <v>109</v>
      </c>
      <c r="F611" t="s">
        <v>38</v>
      </c>
      <c r="G611">
        <v>424384.67</v>
      </c>
      <c r="H611">
        <v>329245.43</v>
      </c>
      <c r="I611" t="s">
        <v>18</v>
      </c>
      <c r="J611" t="s">
        <v>19</v>
      </c>
      <c r="K611">
        <v>95139.239999999991</v>
      </c>
      <c r="L611">
        <v>0.2241816133462125</v>
      </c>
    </row>
    <row r="612" spans="1:12" x14ac:dyDescent="0.35">
      <c r="A612" t="s">
        <v>2165</v>
      </c>
      <c r="B612" s="1">
        <v>46044</v>
      </c>
      <c r="C612" t="s">
        <v>99</v>
      </c>
      <c r="D612" t="s">
        <v>36</v>
      </c>
      <c r="E612" t="s">
        <v>37</v>
      </c>
      <c r="F612" t="s">
        <v>79</v>
      </c>
      <c r="G612">
        <v>420240.34</v>
      </c>
      <c r="H612">
        <v>191486.46</v>
      </c>
      <c r="I612" t="s">
        <v>32</v>
      </c>
      <c r="J612" t="s">
        <v>41</v>
      </c>
      <c r="K612">
        <v>228753.88000000003</v>
      </c>
      <c r="L612">
        <v>0.54434060280838348</v>
      </c>
    </row>
    <row r="613" spans="1:12" x14ac:dyDescent="0.35">
      <c r="A613" t="s">
        <v>2169</v>
      </c>
      <c r="B613" s="1">
        <v>46200</v>
      </c>
      <c r="C613" t="s">
        <v>3383</v>
      </c>
      <c r="D613" t="s">
        <v>53</v>
      </c>
      <c r="E613" t="s">
        <v>134</v>
      </c>
      <c r="F613" t="s">
        <v>74</v>
      </c>
      <c r="G613">
        <v>92841.25</v>
      </c>
      <c r="H613">
        <v>61419.07</v>
      </c>
      <c r="I613" t="s">
        <v>18</v>
      </c>
      <c r="J613" t="s">
        <v>41</v>
      </c>
      <c r="K613">
        <v>31422.18</v>
      </c>
      <c r="L613">
        <v>0.33845063482019039</v>
      </c>
    </row>
    <row r="614" spans="1:12" x14ac:dyDescent="0.35">
      <c r="A614" t="s">
        <v>2172</v>
      </c>
      <c r="B614" s="1">
        <v>46074</v>
      </c>
      <c r="C614" t="s">
        <v>12</v>
      </c>
      <c r="D614" t="s">
        <v>53</v>
      </c>
      <c r="E614" t="s">
        <v>109</v>
      </c>
      <c r="F614" t="s">
        <v>79</v>
      </c>
      <c r="G614">
        <v>69421.8</v>
      </c>
      <c r="H614">
        <v>38965.550000000003</v>
      </c>
      <c r="I614" t="s">
        <v>49</v>
      </c>
      <c r="J614" t="s">
        <v>41</v>
      </c>
      <c r="K614">
        <v>30456.25</v>
      </c>
      <c r="L614">
        <v>0.43871305555315476</v>
      </c>
    </row>
    <row r="615" spans="1:12" x14ac:dyDescent="0.35">
      <c r="A615" t="s">
        <v>2175</v>
      </c>
      <c r="B615" s="1">
        <v>46042</v>
      </c>
      <c r="C615" t="s">
        <v>3383</v>
      </c>
      <c r="D615" t="s">
        <v>53</v>
      </c>
      <c r="E615" t="s">
        <v>45</v>
      </c>
      <c r="F615" t="s">
        <v>46</v>
      </c>
      <c r="G615">
        <v>398548.66</v>
      </c>
      <c r="H615">
        <v>167861.7</v>
      </c>
      <c r="I615" t="s">
        <v>18</v>
      </c>
      <c r="J615" t="s">
        <v>41</v>
      </c>
      <c r="K615">
        <v>230686.95999999996</v>
      </c>
      <c r="L615">
        <v>0.57881755266722001</v>
      </c>
    </row>
    <row r="616" spans="1:12" x14ac:dyDescent="0.35">
      <c r="A616" t="s">
        <v>2179</v>
      </c>
      <c r="B616" s="1">
        <v>46190</v>
      </c>
      <c r="C616" t="s">
        <v>12</v>
      </c>
      <c r="D616" t="s">
        <v>23</v>
      </c>
      <c r="E616" t="s">
        <v>24</v>
      </c>
      <c r="F616" t="s">
        <v>25</v>
      </c>
      <c r="G616">
        <v>239658.38</v>
      </c>
      <c r="H616">
        <v>122013.54</v>
      </c>
      <c r="I616" t="s">
        <v>32</v>
      </c>
      <c r="J616" t="s">
        <v>19</v>
      </c>
      <c r="K616">
        <v>117644.84000000001</v>
      </c>
      <c r="L616">
        <v>0.49088556803229666</v>
      </c>
    </row>
    <row r="617" spans="1:12" x14ac:dyDescent="0.35">
      <c r="A617" t="s">
        <v>2182</v>
      </c>
      <c r="B617" s="1">
        <v>46200</v>
      </c>
      <c r="C617" t="s">
        <v>12</v>
      </c>
      <c r="D617" t="s">
        <v>36</v>
      </c>
      <c r="E617" t="s">
        <v>45</v>
      </c>
      <c r="F617" t="s">
        <v>25</v>
      </c>
      <c r="G617">
        <v>379454.85</v>
      </c>
      <c r="H617">
        <v>324819.09000000003</v>
      </c>
      <c r="I617" t="s">
        <v>49</v>
      </c>
      <c r="J617" t="s">
        <v>19</v>
      </c>
      <c r="K617">
        <v>54635.759999999951</v>
      </c>
      <c r="L617">
        <v>0.14398487725219469</v>
      </c>
    </row>
    <row r="618" spans="1:12" x14ac:dyDescent="0.35">
      <c r="A618" t="s">
        <v>2185</v>
      </c>
      <c r="B618" s="1">
        <v>46145</v>
      </c>
      <c r="C618" t="s">
        <v>3383</v>
      </c>
      <c r="D618" t="s">
        <v>36</v>
      </c>
      <c r="E618" t="s">
        <v>14</v>
      </c>
      <c r="F618" t="s">
        <v>25</v>
      </c>
      <c r="G618">
        <v>356469.35</v>
      </c>
      <c r="H618">
        <v>239356.09</v>
      </c>
      <c r="I618" t="s">
        <v>49</v>
      </c>
      <c r="J618" t="s">
        <v>19</v>
      </c>
      <c r="K618">
        <v>117113.25999999998</v>
      </c>
      <c r="L618">
        <v>0.32853668905896116</v>
      </c>
    </row>
    <row r="619" spans="1:12" x14ac:dyDescent="0.35">
      <c r="A619" t="s">
        <v>2188</v>
      </c>
      <c r="B619" s="1">
        <v>46043</v>
      </c>
      <c r="C619" t="s">
        <v>12</v>
      </c>
      <c r="D619" t="s">
        <v>23</v>
      </c>
      <c r="E619" t="s">
        <v>109</v>
      </c>
      <c r="F619" t="s">
        <v>15</v>
      </c>
      <c r="G619">
        <v>495178.5</v>
      </c>
      <c r="H619">
        <v>428172.28</v>
      </c>
      <c r="I619" t="s">
        <v>49</v>
      </c>
      <c r="J619" t="s">
        <v>41</v>
      </c>
      <c r="K619">
        <v>67006.219999999972</v>
      </c>
      <c r="L619">
        <v>0.13531730476989606</v>
      </c>
    </row>
    <row r="620" spans="1:12" x14ac:dyDescent="0.35">
      <c r="A620" t="s">
        <v>2191</v>
      </c>
      <c r="B620" s="1">
        <v>46100</v>
      </c>
      <c r="C620" t="s">
        <v>12</v>
      </c>
      <c r="D620" t="s">
        <v>36</v>
      </c>
      <c r="E620" t="s">
        <v>14</v>
      </c>
      <c r="F620" t="s">
        <v>79</v>
      </c>
      <c r="G620">
        <v>406605.6</v>
      </c>
      <c r="H620">
        <v>219191.49</v>
      </c>
      <c r="I620" t="s">
        <v>49</v>
      </c>
      <c r="J620" t="s">
        <v>41</v>
      </c>
      <c r="K620">
        <v>187414.11</v>
      </c>
      <c r="L620">
        <v>0.46092358295114477</v>
      </c>
    </row>
    <row r="621" spans="1:12" x14ac:dyDescent="0.35">
      <c r="A621" t="s">
        <v>2194</v>
      </c>
      <c r="B621" s="1">
        <v>46097</v>
      </c>
      <c r="C621" t="s">
        <v>12</v>
      </c>
      <c r="D621" t="s">
        <v>36</v>
      </c>
      <c r="E621" t="s">
        <v>14</v>
      </c>
      <c r="F621" t="s">
        <v>25</v>
      </c>
      <c r="G621">
        <v>323935.17</v>
      </c>
      <c r="H621">
        <v>292715.31</v>
      </c>
      <c r="I621" t="s">
        <v>18</v>
      </c>
      <c r="J621" t="s">
        <v>41</v>
      </c>
      <c r="K621">
        <v>31219.859999999986</v>
      </c>
      <c r="L621">
        <v>9.6376876891755808E-2</v>
      </c>
    </row>
    <row r="622" spans="1:12" x14ac:dyDescent="0.35">
      <c r="A622" t="s">
        <v>2197</v>
      </c>
      <c r="B622" s="1">
        <v>46160</v>
      </c>
      <c r="C622" t="s">
        <v>67</v>
      </c>
      <c r="D622" t="s">
        <v>23</v>
      </c>
      <c r="E622" t="s">
        <v>45</v>
      </c>
      <c r="F622" t="s">
        <v>74</v>
      </c>
      <c r="G622">
        <v>289851.08</v>
      </c>
      <c r="H622">
        <v>162175.81</v>
      </c>
      <c r="I622" t="s">
        <v>49</v>
      </c>
      <c r="J622" t="s">
        <v>19</v>
      </c>
      <c r="K622">
        <v>127675.27000000002</v>
      </c>
      <c r="L622">
        <v>0.44048574875070334</v>
      </c>
    </row>
    <row r="623" spans="1:12" x14ac:dyDescent="0.35">
      <c r="A623" t="s">
        <v>2200</v>
      </c>
      <c r="B623" s="1">
        <v>46191</v>
      </c>
      <c r="C623" t="s">
        <v>12</v>
      </c>
      <c r="D623" t="s">
        <v>53</v>
      </c>
      <c r="E623" t="s">
        <v>14</v>
      </c>
      <c r="F623" t="s">
        <v>25</v>
      </c>
      <c r="G623">
        <v>202600.92</v>
      </c>
      <c r="H623">
        <v>94644.43</v>
      </c>
      <c r="I623" t="s">
        <v>18</v>
      </c>
      <c r="J623" t="s">
        <v>19</v>
      </c>
      <c r="K623">
        <v>107956.49000000002</v>
      </c>
      <c r="L623">
        <v>0.532852911033178</v>
      </c>
    </row>
    <row r="624" spans="1:12" x14ac:dyDescent="0.35">
      <c r="A624" t="s">
        <v>2204</v>
      </c>
      <c r="B624" s="1">
        <v>46073</v>
      </c>
      <c r="C624" t="s">
        <v>99</v>
      </c>
      <c r="D624" t="s">
        <v>53</v>
      </c>
      <c r="E624" t="s">
        <v>45</v>
      </c>
      <c r="F624" t="s">
        <v>79</v>
      </c>
      <c r="G624">
        <v>352851.92</v>
      </c>
      <c r="H624">
        <v>232479.76</v>
      </c>
      <c r="I624" t="s">
        <v>32</v>
      </c>
      <c r="J624" t="s">
        <v>41</v>
      </c>
      <c r="K624">
        <v>120372.15999999997</v>
      </c>
      <c r="L624">
        <v>0.34114072554855301</v>
      </c>
    </row>
    <row r="625" spans="1:12" x14ac:dyDescent="0.35">
      <c r="A625" t="s">
        <v>2207</v>
      </c>
      <c r="B625" s="1">
        <v>46105</v>
      </c>
      <c r="C625" t="s">
        <v>67</v>
      </c>
      <c r="D625" t="s">
        <v>36</v>
      </c>
      <c r="E625" t="s">
        <v>45</v>
      </c>
      <c r="F625" t="s">
        <v>46</v>
      </c>
      <c r="G625">
        <v>211713.51</v>
      </c>
      <c r="H625">
        <v>94574.5</v>
      </c>
      <c r="I625" t="s">
        <v>18</v>
      </c>
      <c r="J625" t="s">
        <v>19</v>
      </c>
      <c r="K625">
        <v>117139.01000000001</v>
      </c>
      <c r="L625">
        <v>0.55329019862738094</v>
      </c>
    </row>
    <row r="626" spans="1:12" x14ac:dyDescent="0.35">
      <c r="A626" t="s">
        <v>2210</v>
      </c>
      <c r="B626" s="1">
        <v>46096</v>
      </c>
      <c r="C626" t="s">
        <v>12</v>
      </c>
      <c r="D626" t="s">
        <v>23</v>
      </c>
      <c r="E626" t="s">
        <v>24</v>
      </c>
      <c r="F626" t="s">
        <v>79</v>
      </c>
      <c r="G626">
        <v>318247.78999999998</v>
      </c>
      <c r="H626">
        <v>247100.72</v>
      </c>
      <c r="I626" t="s">
        <v>18</v>
      </c>
      <c r="J626" t="s">
        <v>19</v>
      </c>
      <c r="K626">
        <v>71147.069999999978</v>
      </c>
      <c r="L626">
        <v>0.22355872447692404</v>
      </c>
    </row>
    <row r="627" spans="1:12" x14ac:dyDescent="0.35">
      <c r="A627" t="s">
        <v>2214</v>
      </c>
      <c r="B627" s="1">
        <v>46200</v>
      </c>
      <c r="C627" t="s">
        <v>12</v>
      </c>
      <c r="D627" t="s">
        <v>36</v>
      </c>
      <c r="E627" t="s">
        <v>14</v>
      </c>
      <c r="F627" t="s">
        <v>38</v>
      </c>
      <c r="G627">
        <v>448373.26</v>
      </c>
      <c r="H627">
        <v>221748.37</v>
      </c>
      <c r="I627" t="s">
        <v>32</v>
      </c>
      <c r="J627" t="s">
        <v>19</v>
      </c>
      <c r="K627">
        <v>226624.89</v>
      </c>
      <c r="L627">
        <v>0.50543801385479592</v>
      </c>
    </row>
    <row r="628" spans="1:12" x14ac:dyDescent="0.35">
      <c r="A628" t="s">
        <v>2217</v>
      </c>
      <c r="B628" s="1">
        <v>46028</v>
      </c>
      <c r="C628" t="s">
        <v>99</v>
      </c>
      <c r="D628" t="s">
        <v>36</v>
      </c>
      <c r="E628" t="s">
        <v>37</v>
      </c>
      <c r="F628" t="s">
        <v>74</v>
      </c>
      <c r="G628">
        <v>54064.84</v>
      </c>
      <c r="H628">
        <v>33225.33</v>
      </c>
      <c r="I628" t="s">
        <v>49</v>
      </c>
      <c r="J628" t="s">
        <v>41</v>
      </c>
      <c r="K628">
        <v>20839.509999999995</v>
      </c>
      <c r="L628">
        <v>0.38545402150454888</v>
      </c>
    </row>
    <row r="629" spans="1:12" x14ac:dyDescent="0.35">
      <c r="A629" t="s">
        <v>2220</v>
      </c>
      <c r="B629" s="1">
        <v>46138</v>
      </c>
      <c r="C629" t="s">
        <v>12</v>
      </c>
      <c r="D629" t="s">
        <v>36</v>
      </c>
      <c r="E629" t="s">
        <v>37</v>
      </c>
      <c r="F629" t="s">
        <v>46</v>
      </c>
      <c r="G629">
        <v>469697.97</v>
      </c>
      <c r="H629">
        <v>343842.89</v>
      </c>
      <c r="I629" t="s">
        <v>18</v>
      </c>
      <c r="J629" t="s">
        <v>41</v>
      </c>
      <c r="K629">
        <v>125855.07999999996</v>
      </c>
      <c r="L629">
        <v>0.26794895451645229</v>
      </c>
    </row>
    <row r="630" spans="1:12" x14ac:dyDescent="0.35">
      <c r="A630" t="s">
        <v>2223</v>
      </c>
      <c r="B630" s="1">
        <v>46089</v>
      </c>
      <c r="C630" t="s">
        <v>67</v>
      </c>
      <c r="D630" t="s">
        <v>23</v>
      </c>
      <c r="E630" t="s">
        <v>37</v>
      </c>
      <c r="F630" t="s">
        <v>79</v>
      </c>
      <c r="G630">
        <v>248371.11</v>
      </c>
      <c r="H630">
        <v>214837.34</v>
      </c>
      <c r="I630" t="s">
        <v>18</v>
      </c>
      <c r="J630" t="s">
        <v>41</v>
      </c>
      <c r="K630">
        <v>33533.76999999999</v>
      </c>
      <c r="L630">
        <v>0.13501477687964591</v>
      </c>
    </row>
    <row r="631" spans="1:12" x14ac:dyDescent="0.35">
      <c r="A631" t="s">
        <v>2226</v>
      </c>
      <c r="B631" s="1">
        <v>46056</v>
      </c>
      <c r="C631" t="s">
        <v>99</v>
      </c>
      <c r="D631" t="s">
        <v>23</v>
      </c>
      <c r="E631" t="s">
        <v>24</v>
      </c>
      <c r="F631" t="s">
        <v>38</v>
      </c>
      <c r="G631">
        <v>383031.5</v>
      </c>
      <c r="H631">
        <v>304052.5</v>
      </c>
      <c r="I631" t="s">
        <v>49</v>
      </c>
      <c r="J631" t="s">
        <v>41</v>
      </c>
      <c r="K631">
        <v>78979</v>
      </c>
      <c r="L631">
        <v>0.20619452969272761</v>
      </c>
    </row>
    <row r="632" spans="1:12" x14ac:dyDescent="0.35">
      <c r="A632" t="s">
        <v>2230</v>
      </c>
      <c r="B632" s="1">
        <v>46040</v>
      </c>
      <c r="C632" t="s">
        <v>99</v>
      </c>
      <c r="D632" t="s">
        <v>53</v>
      </c>
      <c r="E632" t="s">
        <v>37</v>
      </c>
      <c r="F632" t="s">
        <v>79</v>
      </c>
      <c r="G632">
        <v>494051.27</v>
      </c>
      <c r="H632">
        <v>395655.76</v>
      </c>
      <c r="I632" t="s">
        <v>49</v>
      </c>
      <c r="J632" t="s">
        <v>19</v>
      </c>
      <c r="K632">
        <v>98395.510000000009</v>
      </c>
      <c r="L632">
        <v>0.19916052437229845</v>
      </c>
    </row>
    <row r="633" spans="1:12" x14ac:dyDescent="0.35">
      <c r="A633" t="s">
        <v>2233</v>
      </c>
      <c r="B633" s="1">
        <v>46043</v>
      </c>
      <c r="C633" t="s">
        <v>3383</v>
      </c>
      <c r="D633" t="s">
        <v>53</v>
      </c>
      <c r="E633" t="s">
        <v>134</v>
      </c>
      <c r="F633" t="s">
        <v>15</v>
      </c>
      <c r="G633">
        <v>240626.54</v>
      </c>
      <c r="H633">
        <v>157799.63</v>
      </c>
      <c r="I633" t="s">
        <v>32</v>
      </c>
      <c r="J633" t="s">
        <v>19</v>
      </c>
      <c r="K633">
        <v>82826.91</v>
      </c>
      <c r="L633">
        <v>0.34421352690355767</v>
      </c>
    </row>
    <row r="634" spans="1:12" x14ac:dyDescent="0.35">
      <c r="A634" t="s">
        <v>2236</v>
      </c>
      <c r="B634" s="1">
        <v>46074</v>
      </c>
      <c r="C634" t="s">
        <v>12</v>
      </c>
      <c r="D634" t="s">
        <v>53</v>
      </c>
      <c r="E634" t="s">
        <v>45</v>
      </c>
      <c r="F634" t="s">
        <v>25</v>
      </c>
      <c r="G634">
        <v>184652.36</v>
      </c>
      <c r="H634">
        <v>107428.93</v>
      </c>
      <c r="I634" t="s">
        <v>18</v>
      </c>
      <c r="J634" t="s">
        <v>41</v>
      </c>
      <c r="K634">
        <v>77223.429999999993</v>
      </c>
      <c r="L634">
        <v>0.41820981871014268</v>
      </c>
    </row>
    <row r="635" spans="1:12" x14ac:dyDescent="0.35">
      <c r="A635" t="s">
        <v>2239</v>
      </c>
      <c r="B635" s="1">
        <v>46101</v>
      </c>
      <c r="C635" t="s">
        <v>99</v>
      </c>
      <c r="D635" t="s">
        <v>53</v>
      </c>
      <c r="E635" t="s">
        <v>134</v>
      </c>
      <c r="F635" t="s">
        <v>74</v>
      </c>
      <c r="G635">
        <v>53520.62</v>
      </c>
      <c r="H635">
        <v>38101.33</v>
      </c>
      <c r="I635" t="s">
        <v>18</v>
      </c>
      <c r="J635" t="s">
        <v>41</v>
      </c>
      <c r="K635">
        <v>15419.29</v>
      </c>
      <c r="L635">
        <v>0.28809998837831102</v>
      </c>
    </row>
    <row r="636" spans="1:12" x14ac:dyDescent="0.35">
      <c r="A636" t="s">
        <v>2242</v>
      </c>
      <c r="B636" s="1">
        <v>46117</v>
      </c>
      <c r="C636" t="s">
        <v>52</v>
      </c>
      <c r="D636" t="s">
        <v>23</v>
      </c>
      <c r="E636" t="s">
        <v>45</v>
      </c>
      <c r="F636" t="s">
        <v>15</v>
      </c>
      <c r="G636">
        <v>52770.87</v>
      </c>
      <c r="H636">
        <v>42986.38</v>
      </c>
      <c r="I636" t="s">
        <v>32</v>
      </c>
      <c r="J636" t="s">
        <v>41</v>
      </c>
      <c r="K636">
        <v>9784.4900000000052</v>
      </c>
      <c r="L636">
        <v>0.18541460468625975</v>
      </c>
    </row>
    <row r="637" spans="1:12" x14ac:dyDescent="0.35">
      <c r="A637" t="s">
        <v>2245</v>
      </c>
      <c r="B637" s="1">
        <v>46107</v>
      </c>
      <c r="C637" t="s">
        <v>12</v>
      </c>
      <c r="D637" t="s">
        <v>36</v>
      </c>
      <c r="E637" t="s">
        <v>134</v>
      </c>
      <c r="F637" t="s">
        <v>74</v>
      </c>
      <c r="G637">
        <v>404325.58</v>
      </c>
      <c r="H637">
        <v>209831.6</v>
      </c>
      <c r="I637" t="s">
        <v>18</v>
      </c>
      <c r="J637" t="s">
        <v>41</v>
      </c>
      <c r="K637">
        <v>194493.98</v>
      </c>
      <c r="L637">
        <v>0.48103308229966552</v>
      </c>
    </row>
    <row r="638" spans="1:12" x14ac:dyDescent="0.35">
      <c r="A638" t="s">
        <v>2249</v>
      </c>
      <c r="B638" s="1">
        <v>46053</v>
      </c>
      <c r="C638" t="s">
        <v>12</v>
      </c>
      <c r="D638" t="s">
        <v>23</v>
      </c>
      <c r="E638" t="s">
        <v>14</v>
      </c>
      <c r="F638" t="s">
        <v>79</v>
      </c>
      <c r="G638">
        <v>497742.07</v>
      </c>
      <c r="H638">
        <v>444277.15</v>
      </c>
      <c r="I638" t="s">
        <v>49</v>
      </c>
      <c r="J638" t="s">
        <v>19</v>
      </c>
      <c r="K638">
        <v>53464.919999999984</v>
      </c>
      <c r="L638">
        <v>0.10741491069862746</v>
      </c>
    </row>
    <row r="639" spans="1:12" x14ac:dyDescent="0.35">
      <c r="A639" t="s">
        <v>2252</v>
      </c>
      <c r="B639" s="1">
        <v>46073</v>
      </c>
      <c r="C639" t="s">
        <v>3383</v>
      </c>
      <c r="D639" t="s">
        <v>53</v>
      </c>
      <c r="E639" t="s">
        <v>134</v>
      </c>
      <c r="F639" t="s">
        <v>25</v>
      </c>
      <c r="G639">
        <v>478222.52</v>
      </c>
      <c r="H639">
        <v>414709.09</v>
      </c>
      <c r="I639" t="s">
        <v>49</v>
      </c>
      <c r="J639" t="s">
        <v>41</v>
      </c>
      <c r="K639">
        <v>63513.429999999993</v>
      </c>
      <c r="L639">
        <v>0.132811457728925</v>
      </c>
    </row>
    <row r="640" spans="1:12" x14ac:dyDescent="0.35">
      <c r="A640" t="s">
        <v>2255</v>
      </c>
      <c r="B640" s="1">
        <v>46023</v>
      </c>
      <c r="C640" t="s">
        <v>12</v>
      </c>
      <c r="D640" t="s">
        <v>53</v>
      </c>
      <c r="E640" t="s">
        <v>45</v>
      </c>
      <c r="F640" t="s">
        <v>74</v>
      </c>
      <c r="G640">
        <v>498546.4</v>
      </c>
      <c r="H640">
        <v>322907.05</v>
      </c>
      <c r="I640" t="s">
        <v>49</v>
      </c>
      <c r="J640" t="s">
        <v>19</v>
      </c>
      <c r="K640">
        <v>175639.35000000003</v>
      </c>
      <c r="L640">
        <v>0.3523029150345886</v>
      </c>
    </row>
    <row r="641" spans="1:12" x14ac:dyDescent="0.35">
      <c r="A641" t="s">
        <v>2258</v>
      </c>
      <c r="B641" s="1">
        <v>46027</v>
      </c>
      <c r="C641" t="s">
        <v>12</v>
      </c>
      <c r="D641" t="s">
        <v>36</v>
      </c>
      <c r="E641" t="s">
        <v>37</v>
      </c>
      <c r="F641" t="s">
        <v>25</v>
      </c>
      <c r="G641">
        <v>70256.289999999994</v>
      </c>
      <c r="H641">
        <v>63096.2</v>
      </c>
      <c r="I641" t="s">
        <v>32</v>
      </c>
      <c r="J641" t="s">
        <v>19</v>
      </c>
      <c r="K641">
        <v>7160.0899999999965</v>
      </c>
      <c r="L641">
        <v>0.10191386422482596</v>
      </c>
    </row>
    <row r="642" spans="1:12" x14ac:dyDescent="0.35">
      <c r="A642" t="s">
        <v>2261</v>
      </c>
      <c r="B642" s="1">
        <v>46186</v>
      </c>
      <c r="C642" t="s">
        <v>12</v>
      </c>
      <c r="D642" t="s">
        <v>53</v>
      </c>
      <c r="E642" t="s">
        <v>134</v>
      </c>
      <c r="F642" t="s">
        <v>79</v>
      </c>
      <c r="G642">
        <v>282519.59999999998</v>
      </c>
      <c r="H642">
        <v>214414.41</v>
      </c>
      <c r="I642" t="s">
        <v>32</v>
      </c>
      <c r="J642" t="s">
        <v>19</v>
      </c>
      <c r="K642">
        <v>68105.189999999973</v>
      </c>
      <c r="L642">
        <v>0.24106359346395784</v>
      </c>
    </row>
    <row r="643" spans="1:12" x14ac:dyDescent="0.35">
      <c r="A643" t="s">
        <v>2264</v>
      </c>
      <c r="B643" s="1">
        <v>46086</v>
      </c>
      <c r="C643" t="s">
        <v>12</v>
      </c>
      <c r="D643" t="s">
        <v>36</v>
      </c>
      <c r="E643" t="s">
        <v>45</v>
      </c>
      <c r="F643" t="s">
        <v>25</v>
      </c>
      <c r="G643">
        <v>380739.14</v>
      </c>
      <c r="H643">
        <v>270568.81</v>
      </c>
      <c r="I643" t="s">
        <v>18</v>
      </c>
      <c r="J643" t="s">
        <v>19</v>
      </c>
      <c r="K643">
        <v>110170.33000000002</v>
      </c>
      <c r="L643">
        <v>0.28935908716923614</v>
      </c>
    </row>
    <row r="644" spans="1:12" x14ac:dyDescent="0.35">
      <c r="A644" t="s">
        <v>2268</v>
      </c>
      <c r="B644" s="1">
        <v>46057</v>
      </c>
      <c r="C644" t="s">
        <v>12</v>
      </c>
      <c r="D644" t="s">
        <v>36</v>
      </c>
      <c r="E644" t="s">
        <v>45</v>
      </c>
      <c r="F644" t="s">
        <v>46</v>
      </c>
      <c r="G644">
        <v>431632.68</v>
      </c>
      <c r="H644">
        <v>376737.99</v>
      </c>
      <c r="I644" t="s">
        <v>18</v>
      </c>
      <c r="J644" t="s">
        <v>19</v>
      </c>
      <c r="K644">
        <v>54894.69</v>
      </c>
      <c r="L644">
        <v>0.12717917929661859</v>
      </c>
    </row>
    <row r="645" spans="1:12" x14ac:dyDescent="0.35">
      <c r="A645" t="s">
        <v>2272</v>
      </c>
      <c r="B645" s="1">
        <v>46094</v>
      </c>
      <c r="C645" t="s">
        <v>99</v>
      </c>
      <c r="D645" t="s">
        <v>23</v>
      </c>
      <c r="E645" t="s">
        <v>45</v>
      </c>
      <c r="F645" t="s">
        <v>38</v>
      </c>
      <c r="G645">
        <v>185152.38</v>
      </c>
      <c r="H645">
        <v>86260.27</v>
      </c>
      <c r="I645" t="s">
        <v>49</v>
      </c>
      <c r="J645" t="s">
        <v>41</v>
      </c>
      <c r="K645">
        <v>98892.11</v>
      </c>
      <c r="L645">
        <v>0.53411201087450244</v>
      </c>
    </row>
    <row r="646" spans="1:12" x14ac:dyDescent="0.35">
      <c r="A646" t="s">
        <v>2275</v>
      </c>
      <c r="B646" s="1">
        <v>46112</v>
      </c>
      <c r="C646" t="s">
        <v>67</v>
      </c>
      <c r="D646" t="s">
        <v>36</v>
      </c>
      <c r="E646" t="s">
        <v>134</v>
      </c>
      <c r="F646" t="s">
        <v>46</v>
      </c>
      <c r="G646">
        <v>283016.24</v>
      </c>
      <c r="H646">
        <v>219703.31</v>
      </c>
      <c r="I646" t="s">
        <v>49</v>
      </c>
      <c r="J646" t="s">
        <v>19</v>
      </c>
      <c r="K646">
        <v>63312.929999999993</v>
      </c>
      <c r="L646">
        <v>0.22370776320115057</v>
      </c>
    </row>
    <row r="647" spans="1:12" x14ac:dyDescent="0.35">
      <c r="A647" t="s">
        <v>2278</v>
      </c>
      <c r="B647" s="1">
        <v>46136</v>
      </c>
      <c r="C647" t="s">
        <v>67</v>
      </c>
      <c r="D647" t="s">
        <v>53</v>
      </c>
      <c r="E647" t="s">
        <v>109</v>
      </c>
      <c r="F647" t="s">
        <v>46</v>
      </c>
      <c r="G647">
        <v>169330.78</v>
      </c>
      <c r="H647">
        <v>118487.45</v>
      </c>
      <c r="I647" t="s">
        <v>32</v>
      </c>
      <c r="J647" t="s">
        <v>19</v>
      </c>
      <c r="K647">
        <v>50843.33</v>
      </c>
      <c r="L647">
        <v>0.30026041337552456</v>
      </c>
    </row>
    <row r="648" spans="1:12" x14ac:dyDescent="0.35">
      <c r="A648" t="s">
        <v>2281</v>
      </c>
      <c r="B648" s="1">
        <v>46182</v>
      </c>
      <c r="C648" t="s">
        <v>12</v>
      </c>
      <c r="D648" t="s">
        <v>53</v>
      </c>
      <c r="E648" t="s">
        <v>14</v>
      </c>
      <c r="F648" t="s">
        <v>15</v>
      </c>
      <c r="G648">
        <v>489850.97</v>
      </c>
      <c r="H648">
        <v>398202.76</v>
      </c>
      <c r="I648" t="s">
        <v>32</v>
      </c>
      <c r="J648" t="s">
        <v>19</v>
      </c>
      <c r="K648">
        <v>91648.209999999963</v>
      </c>
      <c r="L648">
        <v>0.18709406658927299</v>
      </c>
    </row>
    <row r="649" spans="1:12" x14ac:dyDescent="0.35">
      <c r="A649" t="s">
        <v>2284</v>
      </c>
      <c r="B649" s="1">
        <v>46081</v>
      </c>
      <c r="C649" t="s">
        <v>3383</v>
      </c>
      <c r="D649" t="s">
        <v>53</v>
      </c>
      <c r="E649" t="s">
        <v>14</v>
      </c>
      <c r="F649" t="s">
        <v>79</v>
      </c>
      <c r="G649">
        <v>357526.62</v>
      </c>
      <c r="H649">
        <v>212983.89</v>
      </c>
      <c r="I649" t="s">
        <v>49</v>
      </c>
      <c r="J649" t="s">
        <v>19</v>
      </c>
      <c r="K649">
        <v>144542.72999999998</v>
      </c>
      <c r="L649">
        <v>0.40428522497149999</v>
      </c>
    </row>
    <row r="650" spans="1:12" x14ac:dyDescent="0.35">
      <c r="A650" t="s">
        <v>2287</v>
      </c>
      <c r="B650" s="1">
        <v>46042</v>
      </c>
      <c r="C650" t="s">
        <v>99</v>
      </c>
      <c r="D650" t="s">
        <v>53</v>
      </c>
      <c r="E650" t="s">
        <v>24</v>
      </c>
      <c r="F650" t="s">
        <v>15</v>
      </c>
      <c r="G650">
        <v>431997.32</v>
      </c>
      <c r="H650">
        <v>315834.76</v>
      </c>
      <c r="I650" t="s">
        <v>49</v>
      </c>
      <c r="J650" t="s">
        <v>41</v>
      </c>
      <c r="K650">
        <v>116162.56</v>
      </c>
      <c r="L650">
        <v>0.2688964829689221</v>
      </c>
    </row>
    <row r="651" spans="1:12" x14ac:dyDescent="0.35">
      <c r="A651" t="s">
        <v>2290</v>
      </c>
      <c r="B651" s="1">
        <v>46073</v>
      </c>
      <c r="C651" t="s">
        <v>67</v>
      </c>
      <c r="D651" t="s">
        <v>53</v>
      </c>
      <c r="E651" t="s">
        <v>24</v>
      </c>
      <c r="F651" t="s">
        <v>38</v>
      </c>
      <c r="G651">
        <v>59883.360000000001</v>
      </c>
      <c r="H651">
        <v>27602.54</v>
      </c>
      <c r="I651" t="s">
        <v>49</v>
      </c>
      <c r="J651" t="s">
        <v>19</v>
      </c>
      <c r="K651">
        <v>32280.82</v>
      </c>
      <c r="L651">
        <v>0.53906160242177459</v>
      </c>
    </row>
    <row r="652" spans="1:12" x14ac:dyDescent="0.35">
      <c r="A652" t="s">
        <v>2293</v>
      </c>
      <c r="B652" s="1">
        <v>46071</v>
      </c>
      <c r="C652" t="s">
        <v>12</v>
      </c>
      <c r="D652" t="s">
        <v>23</v>
      </c>
      <c r="E652" t="s">
        <v>37</v>
      </c>
      <c r="F652" t="s">
        <v>15</v>
      </c>
      <c r="G652">
        <v>174069.25</v>
      </c>
      <c r="H652">
        <v>95728.57</v>
      </c>
      <c r="I652" t="s">
        <v>32</v>
      </c>
      <c r="J652" t="s">
        <v>41</v>
      </c>
      <c r="K652">
        <v>78340.679999999993</v>
      </c>
      <c r="L652">
        <v>0.45005467651523745</v>
      </c>
    </row>
    <row r="653" spans="1:12" x14ac:dyDescent="0.35">
      <c r="A653" t="s">
        <v>2296</v>
      </c>
      <c r="B653" s="1">
        <v>46121</v>
      </c>
      <c r="C653" t="s">
        <v>12</v>
      </c>
      <c r="D653" t="s">
        <v>53</v>
      </c>
      <c r="E653" t="s">
        <v>45</v>
      </c>
      <c r="F653" t="s">
        <v>38</v>
      </c>
      <c r="G653">
        <v>393091.05</v>
      </c>
      <c r="H653">
        <v>174067.44</v>
      </c>
      <c r="I653" t="s">
        <v>49</v>
      </c>
      <c r="J653" t="s">
        <v>41</v>
      </c>
      <c r="K653">
        <v>219023.61</v>
      </c>
      <c r="L653">
        <v>0.55718289693952583</v>
      </c>
    </row>
    <row r="654" spans="1:12" x14ac:dyDescent="0.35">
      <c r="A654" t="s">
        <v>2299</v>
      </c>
      <c r="B654" s="1">
        <v>46029</v>
      </c>
      <c r="C654" t="s">
        <v>12</v>
      </c>
      <c r="D654" t="s">
        <v>53</v>
      </c>
      <c r="E654" t="s">
        <v>109</v>
      </c>
      <c r="F654" t="s">
        <v>46</v>
      </c>
      <c r="G654">
        <v>422959.51</v>
      </c>
      <c r="H654">
        <v>222879.21</v>
      </c>
      <c r="I654" t="s">
        <v>49</v>
      </c>
      <c r="J654" t="s">
        <v>19</v>
      </c>
      <c r="K654">
        <v>200080.30000000002</v>
      </c>
      <c r="L654">
        <v>0.47304835396655348</v>
      </c>
    </row>
    <row r="655" spans="1:12" x14ac:dyDescent="0.35">
      <c r="A655" t="s">
        <v>2302</v>
      </c>
      <c r="B655" s="1">
        <v>46064</v>
      </c>
      <c r="C655" t="s">
        <v>12</v>
      </c>
      <c r="D655" t="s">
        <v>23</v>
      </c>
      <c r="E655" t="s">
        <v>37</v>
      </c>
      <c r="F655" t="s">
        <v>15</v>
      </c>
      <c r="G655">
        <v>215097.29</v>
      </c>
      <c r="H655">
        <v>202727.8</v>
      </c>
      <c r="I655" t="s">
        <v>32</v>
      </c>
      <c r="J655" t="s">
        <v>19</v>
      </c>
      <c r="K655">
        <v>12369.49000000002</v>
      </c>
      <c r="L655">
        <v>5.7506489272831002E-2</v>
      </c>
    </row>
    <row r="656" spans="1:12" x14ac:dyDescent="0.35">
      <c r="A656" t="s">
        <v>2305</v>
      </c>
      <c r="B656" s="1">
        <v>46046</v>
      </c>
      <c r="C656" t="s">
        <v>12</v>
      </c>
      <c r="D656" t="s">
        <v>53</v>
      </c>
      <c r="E656" t="s">
        <v>45</v>
      </c>
      <c r="F656" t="s">
        <v>25</v>
      </c>
      <c r="G656">
        <v>242047.15</v>
      </c>
      <c r="H656">
        <v>149944.74</v>
      </c>
      <c r="I656" t="s">
        <v>49</v>
      </c>
      <c r="J656" t="s">
        <v>19</v>
      </c>
      <c r="K656">
        <v>92102.41</v>
      </c>
      <c r="L656">
        <v>0.38051433367424492</v>
      </c>
    </row>
    <row r="657" spans="1:12" x14ac:dyDescent="0.35">
      <c r="A657" t="s">
        <v>2308</v>
      </c>
      <c r="B657" s="1">
        <v>46160</v>
      </c>
      <c r="C657" t="s">
        <v>99</v>
      </c>
      <c r="D657" t="s">
        <v>53</v>
      </c>
      <c r="E657" t="s">
        <v>24</v>
      </c>
      <c r="F657" t="s">
        <v>74</v>
      </c>
      <c r="G657">
        <v>72740.679999999993</v>
      </c>
      <c r="H657">
        <v>31997.26</v>
      </c>
      <c r="I657" t="s">
        <v>49</v>
      </c>
      <c r="J657" t="s">
        <v>41</v>
      </c>
      <c r="K657">
        <v>40743.42</v>
      </c>
      <c r="L657">
        <v>0.56011876710528419</v>
      </c>
    </row>
    <row r="658" spans="1:12" x14ac:dyDescent="0.35">
      <c r="A658" t="s">
        <v>2311</v>
      </c>
      <c r="B658" s="1">
        <v>46103</v>
      </c>
      <c r="C658" t="s">
        <v>12</v>
      </c>
      <c r="D658" t="s">
        <v>36</v>
      </c>
      <c r="E658" t="s">
        <v>109</v>
      </c>
      <c r="F658" t="s">
        <v>38</v>
      </c>
      <c r="G658">
        <v>54985.46</v>
      </c>
      <c r="H658">
        <v>45657.59</v>
      </c>
      <c r="I658" t="s">
        <v>32</v>
      </c>
      <c r="J658" t="s">
        <v>41</v>
      </c>
      <c r="K658">
        <v>9327.8700000000026</v>
      </c>
      <c r="L658">
        <v>0.16964248366750051</v>
      </c>
    </row>
    <row r="659" spans="1:12" x14ac:dyDescent="0.35">
      <c r="A659" t="s">
        <v>2314</v>
      </c>
      <c r="B659" s="1">
        <v>46163</v>
      </c>
      <c r="C659" t="s">
        <v>12</v>
      </c>
      <c r="D659" t="s">
        <v>53</v>
      </c>
      <c r="E659" t="s">
        <v>134</v>
      </c>
      <c r="F659" t="s">
        <v>25</v>
      </c>
      <c r="G659">
        <v>58181.41</v>
      </c>
      <c r="H659">
        <v>35375.589999999997</v>
      </c>
      <c r="I659" t="s">
        <v>49</v>
      </c>
      <c r="J659" t="s">
        <v>19</v>
      </c>
      <c r="K659">
        <v>22805.820000000007</v>
      </c>
      <c r="L659">
        <v>0.39197778121912147</v>
      </c>
    </row>
    <row r="660" spans="1:12" x14ac:dyDescent="0.35">
      <c r="A660" t="s">
        <v>2317</v>
      </c>
      <c r="B660" s="1">
        <v>46195</v>
      </c>
      <c r="C660" t="s">
        <v>67</v>
      </c>
      <c r="D660" t="s">
        <v>53</v>
      </c>
      <c r="E660" t="s">
        <v>109</v>
      </c>
      <c r="F660" t="s">
        <v>46</v>
      </c>
      <c r="G660">
        <v>215358.52</v>
      </c>
      <c r="H660">
        <v>145497.07999999999</v>
      </c>
      <c r="I660" t="s">
        <v>32</v>
      </c>
      <c r="J660" t="s">
        <v>41</v>
      </c>
      <c r="K660">
        <v>69861.440000000002</v>
      </c>
      <c r="L660">
        <v>0.32439598860541952</v>
      </c>
    </row>
    <row r="661" spans="1:12" x14ac:dyDescent="0.35">
      <c r="A661" t="s">
        <v>2320</v>
      </c>
      <c r="B661" s="1">
        <v>46033</v>
      </c>
      <c r="C661" t="s">
        <v>12</v>
      </c>
      <c r="D661" t="s">
        <v>53</v>
      </c>
      <c r="E661" t="s">
        <v>14</v>
      </c>
      <c r="F661" t="s">
        <v>15</v>
      </c>
      <c r="G661">
        <v>392473.1</v>
      </c>
      <c r="H661">
        <v>164270.54</v>
      </c>
      <c r="I661" t="s">
        <v>18</v>
      </c>
      <c r="J661" t="s">
        <v>41</v>
      </c>
      <c r="K661">
        <v>228202.55999999997</v>
      </c>
      <c r="L661">
        <v>0.58144764571126017</v>
      </c>
    </row>
    <row r="662" spans="1:12" x14ac:dyDescent="0.35">
      <c r="A662" t="s">
        <v>2323</v>
      </c>
      <c r="B662" s="1">
        <v>46159</v>
      </c>
      <c r="C662" t="s">
        <v>99</v>
      </c>
      <c r="D662" t="s">
        <v>53</v>
      </c>
      <c r="E662" t="s">
        <v>24</v>
      </c>
      <c r="F662" t="s">
        <v>15</v>
      </c>
      <c r="G662">
        <v>63536.92</v>
      </c>
      <c r="H662">
        <v>59704.7</v>
      </c>
      <c r="I662" t="s">
        <v>49</v>
      </c>
      <c r="J662" t="s">
        <v>41</v>
      </c>
      <c r="K662">
        <v>3832.2200000000012</v>
      </c>
      <c r="L662">
        <v>6.0314853159391439E-2</v>
      </c>
    </row>
    <row r="663" spans="1:12" x14ac:dyDescent="0.35">
      <c r="A663" t="s">
        <v>2326</v>
      </c>
      <c r="B663" s="1">
        <v>46123</v>
      </c>
      <c r="C663" t="s">
        <v>3383</v>
      </c>
      <c r="D663" t="s">
        <v>23</v>
      </c>
      <c r="E663" t="s">
        <v>45</v>
      </c>
      <c r="F663" t="s">
        <v>15</v>
      </c>
      <c r="G663">
        <v>307897.01</v>
      </c>
      <c r="H663">
        <v>221191.03</v>
      </c>
      <c r="I663" t="s">
        <v>32</v>
      </c>
      <c r="J663" t="s">
        <v>19</v>
      </c>
      <c r="K663">
        <v>86705.98000000001</v>
      </c>
      <c r="L663">
        <v>0.28160708673332036</v>
      </c>
    </row>
    <row r="664" spans="1:12" x14ac:dyDescent="0.35">
      <c r="A664" t="s">
        <v>2329</v>
      </c>
      <c r="B664" s="1">
        <v>46043</v>
      </c>
      <c r="C664" t="s">
        <v>12</v>
      </c>
      <c r="D664" t="s">
        <v>53</v>
      </c>
      <c r="E664" t="s">
        <v>37</v>
      </c>
      <c r="F664" t="s">
        <v>79</v>
      </c>
      <c r="G664">
        <v>71793.850000000006</v>
      </c>
      <c r="H664">
        <v>65905.37</v>
      </c>
      <c r="I664" t="s">
        <v>49</v>
      </c>
      <c r="J664" t="s">
        <v>19</v>
      </c>
      <c r="K664">
        <v>5888.4800000000105</v>
      </c>
      <c r="L664">
        <v>8.2019281595847135E-2</v>
      </c>
    </row>
    <row r="665" spans="1:12" x14ac:dyDescent="0.35">
      <c r="A665" t="s">
        <v>2332</v>
      </c>
      <c r="B665" s="1">
        <v>46077</v>
      </c>
      <c r="C665" t="s">
        <v>3383</v>
      </c>
      <c r="D665" t="s">
        <v>36</v>
      </c>
      <c r="E665" t="s">
        <v>134</v>
      </c>
      <c r="F665" t="s">
        <v>74</v>
      </c>
      <c r="G665">
        <v>65394.74</v>
      </c>
      <c r="H665">
        <v>58588.34</v>
      </c>
      <c r="I665" t="s">
        <v>18</v>
      </c>
      <c r="J665" t="s">
        <v>41</v>
      </c>
      <c r="K665">
        <v>6806.4000000000015</v>
      </c>
      <c r="L665">
        <v>0.10408176559766125</v>
      </c>
    </row>
    <row r="666" spans="1:12" x14ac:dyDescent="0.35">
      <c r="A666" t="s">
        <v>2336</v>
      </c>
      <c r="B666" s="1">
        <v>46140</v>
      </c>
      <c r="C666" t="s">
        <v>3383</v>
      </c>
      <c r="D666" t="s">
        <v>53</v>
      </c>
      <c r="E666" t="s">
        <v>45</v>
      </c>
      <c r="F666" t="s">
        <v>74</v>
      </c>
      <c r="G666">
        <v>124609.25</v>
      </c>
      <c r="H666">
        <v>82358.16</v>
      </c>
      <c r="I666" t="s">
        <v>18</v>
      </c>
      <c r="J666" t="s">
        <v>41</v>
      </c>
      <c r="K666">
        <v>42251.09</v>
      </c>
      <c r="L666">
        <v>0.33906864859550956</v>
      </c>
    </row>
    <row r="667" spans="1:12" x14ac:dyDescent="0.35">
      <c r="A667" t="s">
        <v>2339</v>
      </c>
      <c r="B667" s="1">
        <v>46036</v>
      </c>
      <c r="C667" t="s">
        <v>99</v>
      </c>
      <c r="D667" t="s">
        <v>36</v>
      </c>
      <c r="E667" t="s">
        <v>24</v>
      </c>
      <c r="F667" t="s">
        <v>46</v>
      </c>
      <c r="G667">
        <v>199681.14</v>
      </c>
      <c r="H667">
        <v>156345.41</v>
      </c>
      <c r="I667" t="s">
        <v>49</v>
      </c>
      <c r="J667" t="s">
        <v>19</v>
      </c>
      <c r="K667">
        <v>43335.73000000001</v>
      </c>
      <c r="L667">
        <v>0.21702465240332666</v>
      </c>
    </row>
    <row r="668" spans="1:12" x14ac:dyDescent="0.35">
      <c r="A668" t="s">
        <v>2342</v>
      </c>
      <c r="B668" s="1">
        <v>46080</v>
      </c>
      <c r="C668" t="s">
        <v>3383</v>
      </c>
      <c r="D668" t="s">
        <v>23</v>
      </c>
      <c r="E668" t="s">
        <v>109</v>
      </c>
      <c r="F668" t="s">
        <v>74</v>
      </c>
      <c r="G668">
        <v>360977.22</v>
      </c>
      <c r="H668">
        <v>181507.74</v>
      </c>
      <c r="I668" t="s">
        <v>18</v>
      </c>
      <c r="J668" t="s">
        <v>41</v>
      </c>
      <c r="K668">
        <v>179469.47999999998</v>
      </c>
      <c r="L668">
        <v>0.49717674705345671</v>
      </c>
    </row>
    <row r="669" spans="1:12" x14ac:dyDescent="0.35">
      <c r="A669" t="s">
        <v>2345</v>
      </c>
      <c r="B669" s="1">
        <v>46054</v>
      </c>
      <c r="C669" t="s">
        <v>12</v>
      </c>
      <c r="D669" t="s">
        <v>23</v>
      </c>
      <c r="E669" t="s">
        <v>24</v>
      </c>
      <c r="F669" t="s">
        <v>79</v>
      </c>
      <c r="G669">
        <v>135763.43</v>
      </c>
      <c r="H669">
        <v>64520.19</v>
      </c>
      <c r="I669" t="s">
        <v>49</v>
      </c>
      <c r="J669" t="s">
        <v>41</v>
      </c>
      <c r="K669">
        <v>71243.239999999991</v>
      </c>
      <c r="L669">
        <v>0.52476016553205818</v>
      </c>
    </row>
    <row r="670" spans="1:12" x14ac:dyDescent="0.35">
      <c r="A670" t="s">
        <v>2348</v>
      </c>
      <c r="B670" s="1">
        <v>46062</v>
      </c>
      <c r="C670" t="s">
        <v>99</v>
      </c>
      <c r="D670" t="s">
        <v>23</v>
      </c>
      <c r="E670" t="s">
        <v>45</v>
      </c>
      <c r="F670" t="s">
        <v>74</v>
      </c>
      <c r="G670">
        <v>447703.08</v>
      </c>
      <c r="H670">
        <v>310909.59000000003</v>
      </c>
      <c r="I670" t="s">
        <v>18</v>
      </c>
      <c r="J670" t="s">
        <v>41</v>
      </c>
      <c r="K670">
        <v>136793.49</v>
      </c>
      <c r="L670">
        <v>0.30554511708965681</v>
      </c>
    </row>
    <row r="671" spans="1:12" x14ac:dyDescent="0.35">
      <c r="A671" t="s">
        <v>2351</v>
      </c>
      <c r="B671" s="1">
        <v>46078</v>
      </c>
      <c r="C671" t="s">
        <v>12</v>
      </c>
      <c r="D671" t="s">
        <v>23</v>
      </c>
      <c r="E671" t="s">
        <v>109</v>
      </c>
      <c r="F671" t="s">
        <v>74</v>
      </c>
      <c r="G671">
        <v>392856.07</v>
      </c>
      <c r="H671">
        <v>157374.99</v>
      </c>
      <c r="I671" t="s">
        <v>49</v>
      </c>
      <c r="J671" t="s">
        <v>19</v>
      </c>
      <c r="K671">
        <v>235481.08000000002</v>
      </c>
      <c r="L671">
        <v>0.59940802238336299</v>
      </c>
    </row>
    <row r="672" spans="1:12" x14ac:dyDescent="0.35">
      <c r="A672" t="s">
        <v>2354</v>
      </c>
      <c r="B672" s="1">
        <v>46136</v>
      </c>
      <c r="C672" t="s">
        <v>3383</v>
      </c>
      <c r="D672" t="s">
        <v>53</v>
      </c>
      <c r="E672" t="s">
        <v>134</v>
      </c>
      <c r="F672" t="s">
        <v>25</v>
      </c>
      <c r="G672">
        <v>126781.74</v>
      </c>
      <c r="H672">
        <v>118202.26</v>
      </c>
      <c r="I672" t="s">
        <v>18</v>
      </c>
      <c r="J672" t="s">
        <v>19</v>
      </c>
      <c r="K672">
        <v>8579.4800000000105</v>
      </c>
      <c r="L672">
        <v>6.7671259283868565E-2</v>
      </c>
    </row>
    <row r="673" spans="1:12" x14ac:dyDescent="0.35">
      <c r="A673" t="s">
        <v>2357</v>
      </c>
      <c r="B673" s="1">
        <v>46027</v>
      </c>
      <c r="C673" t="s">
        <v>67</v>
      </c>
      <c r="D673" t="s">
        <v>36</v>
      </c>
      <c r="E673" t="s">
        <v>134</v>
      </c>
      <c r="F673" t="s">
        <v>38</v>
      </c>
      <c r="G673">
        <v>223088.82</v>
      </c>
      <c r="H673">
        <v>91971.55</v>
      </c>
      <c r="I673" t="s">
        <v>49</v>
      </c>
      <c r="J673" t="s">
        <v>19</v>
      </c>
      <c r="K673">
        <v>131117.27000000002</v>
      </c>
      <c r="L673">
        <v>0.58773572785942396</v>
      </c>
    </row>
    <row r="674" spans="1:12" x14ac:dyDescent="0.35">
      <c r="A674" t="s">
        <v>2360</v>
      </c>
      <c r="B674" s="1">
        <v>46130</v>
      </c>
      <c r="C674" t="s">
        <v>12</v>
      </c>
      <c r="D674" t="s">
        <v>23</v>
      </c>
      <c r="E674" t="s">
        <v>37</v>
      </c>
      <c r="F674" t="s">
        <v>15</v>
      </c>
      <c r="G674">
        <v>307907.34000000003</v>
      </c>
      <c r="H674">
        <v>269143.43</v>
      </c>
      <c r="I674" t="s">
        <v>32</v>
      </c>
      <c r="J674" t="s">
        <v>19</v>
      </c>
      <c r="K674">
        <v>38763.910000000033</v>
      </c>
      <c r="L674">
        <v>0.12589472534172141</v>
      </c>
    </row>
    <row r="675" spans="1:12" x14ac:dyDescent="0.35">
      <c r="A675" t="s">
        <v>2364</v>
      </c>
      <c r="B675" s="1">
        <v>46199</v>
      </c>
      <c r="C675" t="s">
        <v>12</v>
      </c>
      <c r="D675" t="s">
        <v>53</v>
      </c>
      <c r="E675" t="s">
        <v>24</v>
      </c>
      <c r="F675" t="s">
        <v>46</v>
      </c>
      <c r="G675">
        <v>240175.91</v>
      </c>
      <c r="H675">
        <v>101507.02</v>
      </c>
      <c r="I675" t="s">
        <v>32</v>
      </c>
      <c r="J675" t="s">
        <v>41</v>
      </c>
      <c r="K675">
        <v>138668.89000000001</v>
      </c>
      <c r="L675">
        <v>0.57736385801556878</v>
      </c>
    </row>
    <row r="676" spans="1:12" x14ac:dyDescent="0.35">
      <c r="A676" t="s">
        <v>2367</v>
      </c>
      <c r="B676" s="1">
        <v>46197</v>
      </c>
      <c r="C676" t="s">
        <v>12</v>
      </c>
      <c r="D676" t="s">
        <v>36</v>
      </c>
      <c r="E676" t="s">
        <v>14</v>
      </c>
      <c r="F676" t="s">
        <v>15</v>
      </c>
      <c r="G676">
        <v>380034.46</v>
      </c>
      <c r="H676">
        <v>245540.52</v>
      </c>
      <c r="I676" t="s">
        <v>18</v>
      </c>
      <c r="J676" t="s">
        <v>19</v>
      </c>
      <c r="K676">
        <v>134493.94000000003</v>
      </c>
      <c r="L676">
        <v>0.35389932797146878</v>
      </c>
    </row>
    <row r="677" spans="1:12" x14ac:dyDescent="0.35">
      <c r="A677" t="s">
        <v>2370</v>
      </c>
      <c r="B677" s="1">
        <v>46076</v>
      </c>
      <c r="C677" t="s">
        <v>99</v>
      </c>
      <c r="D677" t="s">
        <v>36</v>
      </c>
      <c r="E677" t="s">
        <v>37</v>
      </c>
      <c r="F677" t="s">
        <v>46</v>
      </c>
      <c r="G677">
        <v>188455.22</v>
      </c>
      <c r="H677">
        <v>89208.62</v>
      </c>
      <c r="I677" t="s">
        <v>18</v>
      </c>
      <c r="J677" t="s">
        <v>41</v>
      </c>
      <c r="K677">
        <v>99246.6</v>
      </c>
      <c r="L677">
        <v>0.52663226839776578</v>
      </c>
    </row>
    <row r="678" spans="1:12" x14ac:dyDescent="0.35">
      <c r="A678" t="s">
        <v>2373</v>
      </c>
      <c r="B678" s="1">
        <v>46033</v>
      </c>
      <c r="C678" t="s">
        <v>12</v>
      </c>
      <c r="D678" t="s">
        <v>23</v>
      </c>
      <c r="E678" t="s">
        <v>45</v>
      </c>
      <c r="F678" t="s">
        <v>38</v>
      </c>
      <c r="G678">
        <v>435725.25</v>
      </c>
      <c r="H678">
        <v>388454.57</v>
      </c>
      <c r="I678" t="s">
        <v>49</v>
      </c>
      <c r="J678" t="s">
        <v>41</v>
      </c>
      <c r="K678">
        <v>47270.679999999993</v>
      </c>
      <c r="L678">
        <v>0.10848735527720735</v>
      </c>
    </row>
    <row r="679" spans="1:12" x14ac:dyDescent="0.35">
      <c r="A679" t="s">
        <v>2376</v>
      </c>
      <c r="B679" s="1">
        <v>46031</v>
      </c>
      <c r="C679" t="s">
        <v>67</v>
      </c>
      <c r="D679" t="s">
        <v>53</v>
      </c>
      <c r="E679" t="s">
        <v>24</v>
      </c>
      <c r="F679" t="s">
        <v>74</v>
      </c>
      <c r="G679">
        <v>338312.92</v>
      </c>
      <c r="H679">
        <v>146292.76</v>
      </c>
      <c r="I679" t="s">
        <v>18</v>
      </c>
      <c r="J679" t="s">
        <v>41</v>
      </c>
      <c r="K679">
        <v>192020.15999999997</v>
      </c>
      <c r="L679">
        <v>0.56758151595274575</v>
      </c>
    </row>
    <row r="680" spans="1:12" x14ac:dyDescent="0.35">
      <c r="A680" t="s">
        <v>2379</v>
      </c>
      <c r="B680" s="1">
        <v>46189</v>
      </c>
      <c r="C680" t="s">
        <v>67</v>
      </c>
      <c r="D680" t="s">
        <v>53</v>
      </c>
      <c r="E680" t="s">
        <v>109</v>
      </c>
      <c r="F680" t="s">
        <v>46</v>
      </c>
      <c r="G680">
        <v>332319.45</v>
      </c>
      <c r="H680">
        <v>248205.91</v>
      </c>
      <c r="I680" t="s">
        <v>32</v>
      </c>
      <c r="J680" t="s">
        <v>19</v>
      </c>
      <c r="K680">
        <v>84113.540000000008</v>
      </c>
      <c r="L680">
        <v>0.25311049353265364</v>
      </c>
    </row>
    <row r="681" spans="1:12" x14ac:dyDescent="0.35">
      <c r="A681" t="s">
        <v>2382</v>
      </c>
      <c r="B681" s="1">
        <v>46068</v>
      </c>
      <c r="C681" t="s">
        <v>12</v>
      </c>
      <c r="D681" t="s">
        <v>53</v>
      </c>
      <c r="E681" t="s">
        <v>134</v>
      </c>
      <c r="F681" t="s">
        <v>25</v>
      </c>
      <c r="G681">
        <v>343045.06</v>
      </c>
      <c r="H681">
        <v>242095.4</v>
      </c>
      <c r="I681" t="s">
        <v>49</v>
      </c>
      <c r="J681" t="s">
        <v>19</v>
      </c>
      <c r="K681">
        <v>100949.66</v>
      </c>
      <c r="L681">
        <v>0.29427521853834598</v>
      </c>
    </row>
    <row r="682" spans="1:12" x14ac:dyDescent="0.35">
      <c r="A682" t="s">
        <v>2385</v>
      </c>
      <c r="B682" s="1">
        <v>46049</v>
      </c>
      <c r="C682" t="s">
        <v>12</v>
      </c>
      <c r="D682" t="s">
        <v>23</v>
      </c>
      <c r="E682" t="s">
        <v>45</v>
      </c>
      <c r="F682" t="s">
        <v>25</v>
      </c>
      <c r="G682">
        <v>315393.46999999997</v>
      </c>
      <c r="H682">
        <v>135443.54</v>
      </c>
      <c r="I682" t="s">
        <v>49</v>
      </c>
      <c r="J682" t="s">
        <v>41</v>
      </c>
      <c r="K682">
        <v>179949.92999999996</v>
      </c>
      <c r="L682">
        <v>0.5705569300467761</v>
      </c>
    </row>
    <row r="683" spans="1:12" x14ac:dyDescent="0.35">
      <c r="A683" t="s">
        <v>2388</v>
      </c>
      <c r="B683" s="1">
        <v>46152</v>
      </c>
      <c r="C683" t="s">
        <v>99</v>
      </c>
      <c r="D683" t="s">
        <v>36</v>
      </c>
      <c r="E683" t="s">
        <v>134</v>
      </c>
      <c r="F683" t="s">
        <v>15</v>
      </c>
      <c r="G683">
        <v>465020.91</v>
      </c>
      <c r="H683">
        <v>348832.85</v>
      </c>
      <c r="I683" t="s">
        <v>32</v>
      </c>
      <c r="J683" t="s">
        <v>19</v>
      </c>
      <c r="K683">
        <v>116188.06</v>
      </c>
      <c r="L683">
        <v>0.24985556025856989</v>
      </c>
    </row>
    <row r="684" spans="1:12" x14ac:dyDescent="0.35">
      <c r="A684" t="s">
        <v>2392</v>
      </c>
      <c r="B684" s="1">
        <v>46106</v>
      </c>
      <c r="C684" t="s">
        <v>12</v>
      </c>
      <c r="D684" t="s">
        <v>53</v>
      </c>
      <c r="E684" t="s">
        <v>45</v>
      </c>
      <c r="F684" t="s">
        <v>25</v>
      </c>
      <c r="G684">
        <v>231897.88</v>
      </c>
      <c r="H684">
        <v>120316.13</v>
      </c>
      <c r="I684" t="s">
        <v>49</v>
      </c>
      <c r="J684" t="s">
        <v>19</v>
      </c>
      <c r="K684">
        <v>111581.75</v>
      </c>
      <c r="L684">
        <v>0.48116761567634858</v>
      </c>
    </row>
    <row r="685" spans="1:12" x14ac:dyDescent="0.35">
      <c r="A685" t="s">
        <v>2395</v>
      </c>
      <c r="B685" s="1">
        <v>46028</v>
      </c>
      <c r="C685" t="s">
        <v>12</v>
      </c>
      <c r="D685" t="s">
        <v>53</v>
      </c>
      <c r="E685" t="s">
        <v>24</v>
      </c>
      <c r="F685" t="s">
        <v>25</v>
      </c>
      <c r="G685">
        <v>341184.77</v>
      </c>
      <c r="H685">
        <v>174905.04</v>
      </c>
      <c r="I685" t="s">
        <v>18</v>
      </c>
      <c r="J685" t="s">
        <v>19</v>
      </c>
      <c r="K685">
        <v>166279.73000000001</v>
      </c>
      <c r="L685">
        <v>0.48735976696732392</v>
      </c>
    </row>
    <row r="686" spans="1:12" x14ac:dyDescent="0.35">
      <c r="A686" t="s">
        <v>2398</v>
      </c>
      <c r="B686" s="1">
        <v>46151</v>
      </c>
      <c r="C686" t="s">
        <v>12</v>
      </c>
      <c r="D686" t="s">
        <v>36</v>
      </c>
      <c r="E686" t="s">
        <v>45</v>
      </c>
      <c r="F686" t="s">
        <v>15</v>
      </c>
      <c r="G686">
        <v>354086.65</v>
      </c>
      <c r="H686">
        <v>296229.89</v>
      </c>
      <c r="I686" t="s">
        <v>49</v>
      </c>
      <c r="J686" t="s">
        <v>19</v>
      </c>
      <c r="K686">
        <v>57856.760000000009</v>
      </c>
      <c r="L686">
        <v>0.16339717975811854</v>
      </c>
    </row>
    <row r="687" spans="1:12" x14ac:dyDescent="0.35">
      <c r="A687" t="s">
        <v>2401</v>
      </c>
      <c r="B687" s="1">
        <v>46183</v>
      </c>
      <c r="C687" t="s">
        <v>99</v>
      </c>
      <c r="D687" t="s">
        <v>36</v>
      </c>
      <c r="E687" t="s">
        <v>134</v>
      </c>
      <c r="F687" t="s">
        <v>38</v>
      </c>
      <c r="G687">
        <v>184957.8</v>
      </c>
      <c r="H687">
        <v>158374.88</v>
      </c>
      <c r="I687" t="s">
        <v>32</v>
      </c>
      <c r="J687" t="s">
        <v>19</v>
      </c>
      <c r="K687">
        <v>26582.919999999984</v>
      </c>
      <c r="L687">
        <v>0.14372424412487597</v>
      </c>
    </row>
    <row r="688" spans="1:12" x14ac:dyDescent="0.35">
      <c r="A688" t="s">
        <v>2404</v>
      </c>
      <c r="B688" s="1">
        <v>46079</v>
      </c>
      <c r="C688" t="s">
        <v>12</v>
      </c>
      <c r="D688" t="s">
        <v>23</v>
      </c>
      <c r="E688" t="s">
        <v>37</v>
      </c>
      <c r="F688" t="s">
        <v>74</v>
      </c>
      <c r="G688">
        <v>361219.59</v>
      </c>
      <c r="H688">
        <v>306698.93</v>
      </c>
      <c r="I688" t="s">
        <v>18</v>
      </c>
      <c r="J688" t="s">
        <v>19</v>
      </c>
      <c r="K688">
        <v>54520.660000000033</v>
      </c>
      <c r="L688">
        <v>0.15093494790800252</v>
      </c>
    </row>
    <row r="689" spans="1:12" x14ac:dyDescent="0.35">
      <c r="A689" t="s">
        <v>2407</v>
      </c>
      <c r="B689" s="1">
        <v>46113</v>
      </c>
      <c r="C689" t="s">
        <v>3383</v>
      </c>
      <c r="D689" t="s">
        <v>36</v>
      </c>
      <c r="E689" t="s">
        <v>14</v>
      </c>
      <c r="F689" t="s">
        <v>74</v>
      </c>
      <c r="G689">
        <v>212282.44</v>
      </c>
      <c r="H689">
        <v>183104.93</v>
      </c>
      <c r="I689" t="s">
        <v>32</v>
      </c>
      <c r="J689" t="s">
        <v>19</v>
      </c>
      <c r="K689">
        <v>29177.510000000009</v>
      </c>
      <c r="L689">
        <v>0.13744664890793609</v>
      </c>
    </row>
    <row r="690" spans="1:12" x14ac:dyDescent="0.35">
      <c r="A690" t="s">
        <v>2410</v>
      </c>
      <c r="B690" s="1">
        <v>46125</v>
      </c>
      <c r="C690" t="s">
        <v>52</v>
      </c>
      <c r="D690" t="s">
        <v>36</v>
      </c>
      <c r="E690" t="s">
        <v>134</v>
      </c>
      <c r="F690" t="s">
        <v>79</v>
      </c>
      <c r="G690">
        <v>390731.57</v>
      </c>
      <c r="H690">
        <v>355230.94</v>
      </c>
      <c r="I690" t="s">
        <v>18</v>
      </c>
      <c r="J690" t="s">
        <v>41</v>
      </c>
      <c r="K690">
        <v>35500.630000000005</v>
      </c>
      <c r="L690">
        <v>9.0856825313603409E-2</v>
      </c>
    </row>
    <row r="691" spans="1:12" x14ac:dyDescent="0.35">
      <c r="A691" t="s">
        <v>2413</v>
      </c>
      <c r="B691" s="1">
        <v>46096</v>
      </c>
      <c r="C691" t="s">
        <v>12</v>
      </c>
      <c r="D691" t="s">
        <v>23</v>
      </c>
      <c r="E691" t="s">
        <v>45</v>
      </c>
      <c r="F691" t="s">
        <v>74</v>
      </c>
      <c r="G691">
        <v>212356.3</v>
      </c>
      <c r="H691">
        <v>148128.88</v>
      </c>
      <c r="I691" t="s">
        <v>32</v>
      </c>
      <c r="J691" t="s">
        <v>19</v>
      </c>
      <c r="K691">
        <v>64227.419999999984</v>
      </c>
      <c r="L691">
        <v>0.30245121053625434</v>
      </c>
    </row>
    <row r="692" spans="1:12" x14ac:dyDescent="0.35">
      <c r="A692" t="s">
        <v>2416</v>
      </c>
      <c r="B692" s="1">
        <v>46157</v>
      </c>
      <c r="C692" t="s">
        <v>3383</v>
      </c>
      <c r="D692" t="s">
        <v>36</v>
      </c>
      <c r="E692" t="s">
        <v>134</v>
      </c>
      <c r="F692" t="s">
        <v>79</v>
      </c>
      <c r="G692">
        <v>187192.55</v>
      </c>
      <c r="H692">
        <v>172490.93</v>
      </c>
      <c r="I692" t="s">
        <v>49</v>
      </c>
      <c r="J692" t="s">
        <v>19</v>
      </c>
      <c r="K692">
        <v>14701.619999999995</v>
      </c>
      <c r="L692">
        <v>7.8537420426186819E-2</v>
      </c>
    </row>
    <row r="693" spans="1:12" x14ac:dyDescent="0.35">
      <c r="A693" t="s">
        <v>2420</v>
      </c>
      <c r="B693" s="1">
        <v>46041</v>
      </c>
      <c r="C693" t="s">
        <v>99</v>
      </c>
      <c r="D693" t="s">
        <v>36</v>
      </c>
      <c r="E693" t="s">
        <v>24</v>
      </c>
      <c r="F693" t="s">
        <v>38</v>
      </c>
      <c r="G693">
        <v>328521.17</v>
      </c>
      <c r="H693">
        <v>150924.69</v>
      </c>
      <c r="I693" t="s">
        <v>32</v>
      </c>
      <c r="J693" t="s">
        <v>41</v>
      </c>
      <c r="K693">
        <v>177596.47999999998</v>
      </c>
      <c r="L693">
        <v>0.54059371577180249</v>
      </c>
    </row>
    <row r="694" spans="1:12" x14ac:dyDescent="0.35">
      <c r="A694" t="s">
        <v>2424</v>
      </c>
      <c r="B694" s="1">
        <v>46123</v>
      </c>
      <c r="C694" t="s">
        <v>99</v>
      </c>
      <c r="D694" t="s">
        <v>36</v>
      </c>
      <c r="E694" t="s">
        <v>109</v>
      </c>
      <c r="F694" t="s">
        <v>79</v>
      </c>
      <c r="G694">
        <v>145264.14000000001</v>
      </c>
      <c r="H694">
        <v>115747.85</v>
      </c>
      <c r="I694" t="s">
        <v>18</v>
      </c>
      <c r="J694" t="s">
        <v>19</v>
      </c>
      <c r="K694">
        <v>29516.290000000008</v>
      </c>
      <c r="L694">
        <v>0.20319047770495874</v>
      </c>
    </row>
    <row r="695" spans="1:12" x14ac:dyDescent="0.35">
      <c r="A695" t="s">
        <v>2427</v>
      </c>
      <c r="B695" s="1">
        <v>46154</v>
      </c>
      <c r="C695" t="s">
        <v>3383</v>
      </c>
      <c r="D695" t="s">
        <v>23</v>
      </c>
      <c r="E695" t="s">
        <v>134</v>
      </c>
      <c r="F695" t="s">
        <v>46</v>
      </c>
      <c r="G695">
        <v>210280.32000000001</v>
      </c>
      <c r="H695">
        <v>89114.1</v>
      </c>
      <c r="I695" t="s">
        <v>18</v>
      </c>
      <c r="J695" t="s">
        <v>19</v>
      </c>
      <c r="K695">
        <v>121166.22</v>
      </c>
      <c r="L695">
        <v>0.57621283817715319</v>
      </c>
    </row>
    <row r="696" spans="1:12" x14ac:dyDescent="0.35">
      <c r="A696" t="s">
        <v>2430</v>
      </c>
      <c r="B696" s="1">
        <v>46192</v>
      </c>
      <c r="C696" t="s">
        <v>12</v>
      </c>
      <c r="D696" t="s">
        <v>53</v>
      </c>
      <c r="E696" t="s">
        <v>134</v>
      </c>
      <c r="F696" t="s">
        <v>74</v>
      </c>
      <c r="G696">
        <v>257144.08</v>
      </c>
      <c r="H696">
        <v>126985.04</v>
      </c>
      <c r="I696" t="s">
        <v>49</v>
      </c>
      <c r="J696" t="s">
        <v>41</v>
      </c>
      <c r="K696">
        <v>130159.03999999999</v>
      </c>
      <c r="L696">
        <v>0.50617163731710257</v>
      </c>
    </row>
    <row r="697" spans="1:12" x14ac:dyDescent="0.35">
      <c r="A697" t="s">
        <v>2434</v>
      </c>
      <c r="B697" s="1">
        <v>46032</v>
      </c>
      <c r="C697" t="s">
        <v>99</v>
      </c>
      <c r="D697" t="s">
        <v>36</v>
      </c>
      <c r="E697" t="s">
        <v>14</v>
      </c>
      <c r="F697" t="s">
        <v>79</v>
      </c>
      <c r="G697">
        <v>349331.16</v>
      </c>
      <c r="H697">
        <v>244340.2</v>
      </c>
      <c r="I697" t="s">
        <v>49</v>
      </c>
      <c r="J697" t="s">
        <v>19</v>
      </c>
      <c r="K697">
        <v>104990.95999999996</v>
      </c>
      <c r="L697">
        <v>0.3005485110460801</v>
      </c>
    </row>
    <row r="698" spans="1:12" x14ac:dyDescent="0.35">
      <c r="A698" t="s">
        <v>2438</v>
      </c>
      <c r="B698" s="1">
        <v>46134</v>
      </c>
      <c r="C698" t="s">
        <v>12</v>
      </c>
      <c r="D698" t="s">
        <v>36</v>
      </c>
      <c r="E698" t="s">
        <v>109</v>
      </c>
      <c r="F698" t="s">
        <v>79</v>
      </c>
      <c r="G698">
        <v>353520.1</v>
      </c>
      <c r="H698">
        <v>173683.6</v>
      </c>
      <c r="I698" t="s">
        <v>32</v>
      </c>
      <c r="J698" t="s">
        <v>41</v>
      </c>
      <c r="K698">
        <v>179836.49999999997</v>
      </c>
      <c r="L698">
        <v>0.50870233403984666</v>
      </c>
    </row>
    <row r="699" spans="1:12" x14ac:dyDescent="0.35">
      <c r="A699" t="s">
        <v>2441</v>
      </c>
      <c r="B699" s="1">
        <v>46053</v>
      </c>
      <c r="C699" t="s">
        <v>12</v>
      </c>
      <c r="D699" t="s">
        <v>36</v>
      </c>
      <c r="E699" t="s">
        <v>37</v>
      </c>
      <c r="F699" t="s">
        <v>15</v>
      </c>
      <c r="G699">
        <v>155183.82999999999</v>
      </c>
      <c r="H699">
        <v>127899.67</v>
      </c>
      <c r="I699" t="s">
        <v>32</v>
      </c>
      <c r="J699" t="s">
        <v>19</v>
      </c>
      <c r="K699">
        <v>27284.159999999989</v>
      </c>
      <c r="L699">
        <v>0.17581831818431076</v>
      </c>
    </row>
    <row r="700" spans="1:12" x14ac:dyDescent="0.35">
      <c r="A700" t="s">
        <v>2444</v>
      </c>
      <c r="B700" s="1">
        <v>46043</v>
      </c>
      <c r="C700" t="s">
        <v>67</v>
      </c>
      <c r="D700" t="s">
        <v>36</v>
      </c>
      <c r="E700" t="s">
        <v>109</v>
      </c>
      <c r="F700" t="s">
        <v>46</v>
      </c>
      <c r="G700">
        <v>387379.1</v>
      </c>
      <c r="H700">
        <v>235010.48</v>
      </c>
      <c r="I700" t="s">
        <v>18</v>
      </c>
      <c r="J700" t="s">
        <v>41</v>
      </c>
      <c r="K700">
        <v>152368.61999999997</v>
      </c>
      <c r="L700">
        <v>0.39333206153868389</v>
      </c>
    </row>
    <row r="701" spans="1:12" x14ac:dyDescent="0.35">
      <c r="A701" t="s">
        <v>2447</v>
      </c>
      <c r="B701" s="1">
        <v>46074</v>
      </c>
      <c r="C701" t="s">
        <v>12</v>
      </c>
      <c r="D701" t="s">
        <v>23</v>
      </c>
      <c r="E701" t="s">
        <v>14</v>
      </c>
      <c r="F701" t="s">
        <v>46</v>
      </c>
      <c r="G701">
        <v>491022.58</v>
      </c>
      <c r="H701">
        <v>370277.05</v>
      </c>
      <c r="I701" t="s">
        <v>49</v>
      </c>
      <c r="J701" t="s">
        <v>41</v>
      </c>
      <c r="K701">
        <v>120745.53000000003</v>
      </c>
      <c r="L701">
        <v>0.24590626769139623</v>
      </c>
    </row>
    <row r="702" spans="1:12" x14ac:dyDescent="0.35">
      <c r="A702" t="s">
        <v>2450</v>
      </c>
      <c r="B702" s="1">
        <v>46142</v>
      </c>
      <c r="C702" t="s">
        <v>67</v>
      </c>
      <c r="D702" t="s">
        <v>23</v>
      </c>
      <c r="E702" t="s">
        <v>45</v>
      </c>
      <c r="F702" t="s">
        <v>38</v>
      </c>
      <c r="G702">
        <v>366889.75</v>
      </c>
      <c r="H702">
        <v>227036.92</v>
      </c>
      <c r="I702" t="s">
        <v>49</v>
      </c>
      <c r="J702" t="s">
        <v>19</v>
      </c>
      <c r="K702">
        <v>139852.82999999999</v>
      </c>
      <c r="L702">
        <v>0.38118489273685074</v>
      </c>
    </row>
    <row r="703" spans="1:12" x14ac:dyDescent="0.35">
      <c r="A703" t="s">
        <v>2453</v>
      </c>
      <c r="B703" s="1">
        <v>46074</v>
      </c>
      <c r="C703" t="s">
        <v>3383</v>
      </c>
      <c r="D703" t="s">
        <v>53</v>
      </c>
      <c r="E703" t="s">
        <v>45</v>
      </c>
      <c r="F703" t="s">
        <v>25</v>
      </c>
      <c r="G703">
        <v>91672.02</v>
      </c>
      <c r="H703">
        <v>61660.69</v>
      </c>
      <c r="I703" t="s">
        <v>18</v>
      </c>
      <c r="J703" t="s">
        <v>19</v>
      </c>
      <c r="K703">
        <v>30011.33</v>
      </c>
      <c r="L703">
        <v>0.32737720844375418</v>
      </c>
    </row>
    <row r="704" spans="1:12" x14ac:dyDescent="0.35">
      <c r="A704" t="s">
        <v>2456</v>
      </c>
      <c r="B704" s="1">
        <v>46091</v>
      </c>
      <c r="C704" t="s">
        <v>12</v>
      </c>
      <c r="D704" t="s">
        <v>23</v>
      </c>
      <c r="E704" t="s">
        <v>14</v>
      </c>
      <c r="F704" t="s">
        <v>46</v>
      </c>
      <c r="G704">
        <v>185640.74</v>
      </c>
      <c r="H704">
        <v>160776.51999999999</v>
      </c>
      <c r="I704" t="s">
        <v>49</v>
      </c>
      <c r="J704" t="s">
        <v>41</v>
      </c>
      <c r="K704">
        <v>24864.22</v>
      </c>
      <c r="L704">
        <v>0.13393730277093274</v>
      </c>
    </row>
    <row r="705" spans="1:12" x14ac:dyDescent="0.35">
      <c r="A705" t="s">
        <v>2459</v>
      </c>
      <c r="B705" s="1">
        <v>46172</v>
      </c>
      <c r="C705" t="s">
        <v>99</v>
      </c>
      <c r="D705" t="s">
        <v>53</v>
      </c>
      <c r="E705" t="s">
        <v>24</v>
      </c>
      <c r="F705" t="s">
        <v>46</v>
      </c>
      <c r="G705">
        <v>373308.22</v>
      </c>
      <c r="H705">
        <v>189983.84</v>
      </c>
      <c r="I705" t="s">
        <v>32</v>
      </c>
      <c r="J705" t="s">
        <v>41</v>
      </c>
      <c r="K705">
        <v>183324.37999999998</v>
      </c>
      <c r="L705">
        <v>0.49108048036016994</v>
      </c>
    </row>
    <row r="706" spans="1:12" x14ac:dyDescent="0.35">
      <c r="A706" t="s">
        <v>2462</v>
      </c>
      <c r="B706" s="1">
        <v>46032</v>
      </c>
      <c r="C706" t="s">
        <v>52</v>
      </c>
      <c r="D706" t="s">
        <v>23</v>
      </c>
      <c r="E706" t="s">
        <v>14</v>
      </c>
      <c r="F706" t="s">
        <v>38</v>
      </c>
      <c r="G706">
        <v>401054.3</v>
      </c>
      <c r="H706">
        <v>174947.29</v>
      </c>
      <c r="I706" t="s">
        <v>18</v>
      </c>
      <c r="J706" t="s">
        <v>19</v>
      </c>
      <c r="K706">
        <v>226107.00999999998</v>
      </c>
      <c r="L706">
        <v>0.5637815378117127</v>
      </c>
    </row>
    <row r="707" spans="1:12" x14ac:dyDescent="0.35">
      <c r="A707" t="s">
        <v>2465</v>
      </c>
      <c r="B707" s="1">
        <v>46178</v>
      </c>
      <c r="C707" t="s">
        <v>67</v>
      </c>
      <c r="D707" t="s">
        <v>23</v>
      </c>
      <c r="E707" t="s">
        <v>14</v>
      </c>
      <c r="F707" t="s">
        <v>38</v>
      </c>
      <c r="G707">
        <v>431087.87</v>
      </c>
      <c r="H707">
        <v>231494.09</v>
      </c>
      <c r="I707" t="s">
        <v>18</v>
      </c>
      <c r="J707" t="s">
        <v>41</v>
      </c>
      <c r="K707">
        <v>199593.78</v>
      </c>
      <c r="L707">
        <v>0.46300022313316308</v>
      </c>
    </row>
    <row r="708" spans="1:12" x14ac:dyDescent="0.35">
      <c r="A708" t="s">
        <v>2468</v>
      </c>
      <c r="B708" s="1">
        <v>46190</v>
      </c>
      <c r="C708" t="s">
        <v>52</v>
      </c>
      <c r="D708" t="s">
        <v>53</v>
      </c>
      <c r="E708" t="s">
        <v>45</v>
      </c>
      <c r="F708" t="s">
        <v>79</v>
      </c>
      <c r="G708">
        <v>444467.44</v>
      </c>
      <c r="H708">
        <v>407695.11</v>
      </c>
      <c r="I708" t="s">
        <v>49</v>
      </c>
      <c r="J708" t="s">
        <v>41</v>
      </c>
      <c r="K708">
        <v>36772.330000000016</v>
      </c>
      <c r="L708">
        <v>8.2733461870682853E-2</v>
      </c>
    </row>
    <row r="709" spans="1:12" x14ac:dyDescent="0.35">
      <c r="A709" t="s">
        <v>2471</v>
      </c>
      <c r="B709" s="1">
        <v>46122</v>
      </c>
      <c r="C709" t="s">
        <v>52</v>
      </c>
      <c r="D709" t="s">
        <v>23</v>
      </c>
      <c r="E709" t="s">
        <v>109</v>
      </c>
      <c r="F709" t="s">
        <v>79</v>
      </c>
      <c r="G709">
        <v>326224.57</v>
      </c>
      <c r="H709">
        <v>185995.77</v>
      </c>
      <c r="I709" t="s">
        <v>49</v>
      </c>
      <c r="J709" t="s">
        <v>41</v>
      </c>
      <c r="K709">
        <v>140228.80000000002</v>
      </c>
      <c r="L709">
        <v>0.42985358215048003</v>
      </c>
    </row>
    <row r="710" spans="1:12" x14ac:dyDescent="0.35">
      <c r="A710" t="s">
        <v>2474</v>
      </c>
      <c r="B710" s="1">
        <v>46030</v>
      </c>
      <c r="C710" t="s">
        <v>12</v>
      </c>
      <c r="D710" t="s">
        <v>53</v>
      </c>
      <c r="E710" t="s">
        <v>14</v>
      </c>
      <c r="F710" t="s">
        <v>38</v>
      </c>
      <c r="G710">
        <v>393589.48</v>
      </c>
      <c r="H710">
        <v>163530.97</v>
      </c>
      <c r="I710" t="s">
        <v>18</v>
      </c>
      <c r="J710" t="s">
        <v>41</v>
      </c>
      <c r="K710">
        <v>230058.50999999998</v>
      </c>
      <c r="L710">
        <v>0.58451386962883256</v>
      </c>
    </row>
    <row r="711" spans="1:12" x14ac:dyDescent="0.35">
      <c r="A711" t="s">
        <v>2477</v>
      </c>
      <c r="B711" s="1">
        <v>46034</v>
      </c>
      <c r="C711" t="s">
        <v>67</v>
      </c>
      <c r="D711" t="s">
        <v>23</v>
      </c>
      <c r="E711" t="s">
        <v>134</v>
      </c>
      <c r="F711" t="s">
        <v>15</v>
      </c>
      <c r="G711">
        <v>91607.63</v>
      </c>
      <c r="H711">
        <v>54636.42</v>
      </c>
      <c r="I711" t="s">
        <v>32</v>
      </c>
      <c r="J711" t="s">
        <v>41</v>
      </c>
      <c r="K711">
        <v>36971.210000000006</v>
      </c>
      <c r="L711">
        <v>0.40358221252967691</v>
      </c>
    </row>
    <row r="712" spans="1:12" x14ac:dyDescent="0.35">
      <c r="A712" t="s">
        <v>2481</v>
      </c>
      <c r="B712" s="1">
        <v>46174</v>
      </c>
      <c r="C712" t="s">
        <v>3383</v>
      </c>
      <c r="D712" t="s">
        <v>36</v>
      </c>
      <c r="E712" t="s">
        <v>134</v>
      </c>
      <c r="F712" t="s">
        <v>46</v>
      </c>
      <c r="G712">
        <v>242727.19</v>
      </c>
      <c r="H712">
        <v>181236.6</v>
      </c>
      <c r="I712" t="s">
        <v>49</v>
      </c>
      <c r="J712" t="s">
        <v>19</v>
      </c>
      <c r="K712">
        <v>61490.59</v>
      </c>
      <c r="L712">
        <v>0.25333210506824555</v>
      </c>
    </row>
    <row r="713" spans="1:12" x14ac:dyDescent="0.35">
      <c r="A713" t="s">
        <v>2484</v>
      </c>
      <c r="B713" s="1">
        <v>46181</v>
      </c>
      <c r="C713" t="s">
        <v>12</v>
      </c>
      <c r="D713" t="s">
        <v>23</v>
      </c>
      <c r="E713" t="s">
        <v>109</v>
      </c>
      <c r="F713" t="s">
        <v>79</v>
      </c>
      <c r="G713">
        <v>226386.76</v>
      </c>
      <c r="H713">
        <v>149937.70000000001</v>
      </c>
      <c r="I713" t="s">
        <v>32</v>
      </c>
      <c r="J713" t="s">
        <v>19</v>
      </c>
      <c r="K713">
        <v>76449.06</v>
      </c>
      <c r="L713">
        <v>0.3376922749369265</v>
      </c>
    </row>
    <row r="714" spans="1:12" x14ac:dyDescent="0.35">
      <c r="A714" t="s">
        <v>2487</v>
      </c>
      <c r="B714" s="1">
        <v>46112</v>
      </c>
      <c r="C714" t="s">
        <v>67</v>
      </c>
      <c r="D714" t="s">
        <v>23</v>
      </c>
      <c r="E714" t="s">
        <v>37</v>
      </c>
      <c r="F714" t="s">
        <v>74</v>
      </c>
      <c r="G714">
        <v>158921.91</v>
      </c>
      <c r="H714">
        <v>146462.59</v>
      </c>
      <c r="I714" t="s">
        <v>18</v>
      </c>
      <c r="J714" t="s">
        <v>19</v>
      </c>
      <c r="K714">
        <v>12459.320000000007</v>
      </c>
      <c r="L714">
        <v>7.8399007411879246E-2</v>
      </c>
    </row>
    <row r="715" spans="1:12" x14ac:dyDescent="0.35">
      <c r="A715" t="s">
        <v>2490</v>
      </c>
      <c r="B715" s="1">
        <v>46133</v>
      </c>
      <c r="C715" t="s">
        <v>12</v>
      </c>
      <c r="D715" t="s">
        <v>53</v>
      </c>
      <c r="E715" t="s">
        <v>37</v>
      </c>
      <c r="F715" t="s">
        <v>25</v>
      </c>
      <c r="G715">
        <v>322539.76</v>
      </c>
      <c r="H715">
        <v>197210.37</v>
      </c>
      <c r="I715" t="s">
        <v>18</v>
      </c>
      <c r="J715" t="s">
        <v>41</v>
      </c>
      <c r="K715">
        <v>125329.39000000001</v>
      </c>
      <c r="L715">
        <v>0.38857035796144951</v>
      </c>
    </row>
    <row r="716" spans="1:12" x14ac:dyDescent="0.35">
      <c r="A716" t="s">
        <v>2493</v>
      </c>
      <c r="B716" s="1">
        <v>46084</v>
      </c>
      <c r="C716" t="s">
        <v>12</v>
      </c>
      <c r="D716" t="s">
        <v>23</v>
      </c>
      <c r="E716" t="s">
        <v>14</v>
      </c>
      <c r="F716" t="s">
        <v>38</v>
      </c>
      <c r="G716">
        <v>128958.07</v>
      </c>
      <c r="H716">
        <v>70692.52</v>
      </c>
      <c r="I716" t="s">
        <v>49</v>
      </c>
      <c r="J716" t="s">
        <v>41</v>
      </c>
      <c r="K716">
        <v>58265.55</v>
      </c>
      <c r="L716">
        <v>0.45181778852614651</v>
      </c>
    </row>
    <row r="717" spans="1:12" x14ac:dyDescent="0.35">
      <c r="A717" t="s">
        <v>2496</v>
      </c>
      <c r="B717" s="1">
        <v>46183</v>
      </c>
      <c r="C717" t="s">
        <v>67</v>
      </c>
      <c r="D717" t="s">
        <v>53</v>
      </c>
      <c r="E717" t="s">
        <v>24</v>
      </c>
      <c r="F717" t="s">
        <v>74</v>
      </c>
      <c r="G717">
        <v>317725.01</v>
      </c>
      <c r="H717">
        <v>301497.82</v>
      </c>
      <c r="I717" t="s">
        <v>32</v>
      </c>
      <c r="J717" t="s">
        <v>41</v>
      </c>
      <c r="K717">
        <v>16227.190000000002</v>
      </c>
      <c r="L717">
        <v>5.1073064723485259E-2</v>
      </c>
    </row>
    <row r="718" spans="1:12" x14ac:dyDescent="0.35">
      <c r="A718" t="s">
        <v>2499</v>
      </c>
      <c r="B718" s="1">
        <v>46149</v>
      </c>
      <c r="C718" t="s">
        <v>67</v>
      </c>
      <c r="D718" t="s">
        <v>23</v>
      </c>
      <c r="E718" t="s">
        <v>134</v>
      </c>
      <c r="F718" t="s">
        <v>38</v>
      </c>
      <c r="G718">
        <v>345575.36</v>
      </c>
      <c r="H718">
        <v>308447.01</v>
      </c>
      <c r="I718" t="s">
        <v>18</v>
      </c>
      <c r="J718" t="s">
        <v>19</v>
      </c>
      <c r="K718">
        <v>37128.349999999977</v>
      </c>
      <c r="L718">
        <v>0.10743922830609214</v>
      </c>
    </row>
    <row r="719" spans="1:12" x14ac:dyDescent="0.35">
      <c r="A719" t="s">
        <v>2502</v>
      </c>
      <c r="B719" s="1">
        <v>46166</v>
      </c>
      <c r="C719" t="s">
        <v>12</v>
      </c>
      <c r="D719" t="s">
        <v>36</v>
      </c>
      <c r="E719" t="s">
        <v>14</v>
      </c>
      <c r="F719" t="s">
        <v>79</v>
      </c>
      <c r="G719">
        <v>93749.04</v>
      </c>
      <c r="H719">
        <v>59161.99</v>
      </c>
      <c r="I719" t="s">
        <v>49</v>
      </c>
      <c r="J719" t="s">
        <v>41</v>
      </c>
      <c r="K719">
        <v>34587.049999999996</v>
      </c>
      <c r="L719">
        <v>0.36893231120019998</v>
      </c>
    </row>
    <row r="720" spans="1:12" x14ac:dyDescent="0.35">
      <c r="A720" t="s">
        <v>2505</v>
      </c>
      <c r="B720" s="1">
        <v>46183</v>
      </c>
      <c r="C720" t="s">
        <v>12</v>
      </c>
      <c r="D720" t="s">
        <v>23</v>
      </c>
      <c r="E720" t="s">
        <v>24</v>
      </c>
      <c r="F720" t="s">
        <v>74</v>
      </c>
      <c r="G720">
        <v>106252.84</v>
      </c>
      <c r="H720">
        <v>83739.399999999994</v>
      </c>
      <c r="I720" t="s">
        <v>18</v>
      </c>
      <c r="J720" t="s">
        <v>19</v>
      </c>
      <c r="K720">
        <v>22513.440000000002</v>
      </c>
      <c r="L720">
        <v>0.21188553642424995</v>
      </c>
    </row>
    <row r="721" spans="1:12" x14ac:dyDescent="0.35">
      <c r="A721" t="s">
        <v>2508</v>
      </c>
      <c r="B721" s="1">
        <v>46065</v>
      </c>
      <c r="C721" t="s">
        <v>12</v>
      </c>
      <c r="D721" t="s">
        <v>36</v>
      </c>
      <c r="E721" t="s">
        <v>134</v>
      </c>
      <c r="F721" t="s">
        <v>38</v>
      </c>
      <c r="G721">
        <v>221031.46</v>
      </c>
      <c r="H721">
        <v>167866.97</v>
      </c>
      <c r="I721" t="s">
        <v>32</v>
      </c>
      <c r="J721" t="s">
        <v>19</v>
      </c>
      <c r="K721">
        <v>53164.489999999991</v>
      </c>
      <c r="L721">
        <v>0.24052906314784325</v>
      </c>
    </row>
    <row r="722" spans="1:12" x14ac:dyDescent="0.35">
      <c r="A722" t="s">
        <v>2511</v>
      </c>
      <c r="B722" s="1">
        <v>46141</v>
      </c>
      <c r="C722" t="s">
        <v>12</v>
      </c>
      <c r="D722" t="s">
        <v>36</v>
      </c>
      <c r="E722" t="s">
        <v>14</v>
      </c>
      <c r="F722" t="s">
        <v>38</v>
      </c>
      <c r="G722">
        <v>179376.25</v>
      </c>
      <c r="H722">
        <v>155046.98000000001</v>
      </c>
      <c r="I722" t="s">
        <v>49</v>
      </c>
      <c r="J722" t="s">
        <v>41</v>
      </c>
      <c r="K722">
        <v>24329.26999999999</v>
      </c>
      <c r="L722">
        <v>0.13563261580058669</v>
      </c>
    </row>
    <row r="723" spans="1:12" x14ac:dyDescent="0.35">
      <c r="A723" t="s">
        <v>2514</v>
      </c>
      <c r="B723" s="1">
        <v>46107</v>
      </c>
      <c r="C723" t="s">
        <v>12</v>
      </c>
      <c r="D723" t="s">
        <v>53</v>
      </c>
      <c r="E723" t="s">
        <v>24</v>
      </c>
      <c r="F723" t="s">
        <v>79</v>
      </c>
      <c r="G723">
        <v>346220.13</v>
      </c>
      <c r="H723">
        <v>187137.49</v>
      </c>
      <c r="I723" t="s">
        <v>49</v>
      </c>
      <c r="J723" t="s">
        <v>19</v>
      </c>
      <c r="K723">
        <v>159082.64000000001</v>
      </c>
      <c r="L723">
        <v>0.45948408603508989</v>
      </c>
    </row>
    <row r="724" spans="1:12" x14ac:dyDescent="0.35">
      <c r="A724" t="s">
        <v>2517</v>
      </c>
      <c r="B724" s="1">
        <v>46191</v>
      </c>
      <c r="C724" t="s">
        <v>99</v>
      </c>
      <c r="D724" t="s">
        <v>23</v>
      </c>
      <c r="E724" t="s">
        <v>37</v>
      </c>
      <c r="F724" t="s">
        <v>38</v>
      </c>
      <c r="G724">
        <v>462857.16</v>
      </c>
      <c r="H724">
        <v>237853.56</v>
      </c>
      <c r="I724" t="s">
        <v>49</v>
      </c>
      <c r="J724" t="s">
        <v>41</v>
      </c>
      <c r="K724">
        <v>225003.59999999998</v>
      </c>
      <c r="L724">
        <v>0.48611887088448624</v>
      </c>
    </row>
    <row r="725" spans="1:12" x14ac:dyDescent="0.35">
      <c r="A725" t="s">
        <v>2520</v>
      </c>
      <c r="B725" s="1">
        <v>46153</v>
      </c>
      <c r="C725" t="s">
        <v>12</v>
      </c>
      <c r="D725" t="s">
        <v>53</v>
      </c>
      <c r="E725" t="s">
        <v>14</v>
      </c>
      <c r="F725" t="s">
        <v>74</v>
      </c>
      <c r="G725">
        <v>219014.33</v>
      </c>
      <c r="H725">
        <v>142733</v>
      </c>
      <c r="I725" t="s">
        <v>49</v>
      </c>
      <c r="J725" t="s">
        <v>19</v>
      </c>
      <c r="K725">
        <v>76281.329999999987</v>
      </c>
      <c r="L725">
        <v>0.34829378516008513</v>
      </c>
    </row>
    <row r="726" spans="1:12" x14ac:dyDescent="0.35">
      <c r="A726" t="s">
        <v>2523</v>
      </c>
      <c r="B726" s="1">
        <v>46074</v>
      </c>
      <c r="C726" t="s">
        <v>52</v>
      </c>
      <c r="D726" t="s">
        <v>36</v>
      </c>
      <c r="E726" t="s">
        <v>24</v>
      </c>
      <c r="F726" t="s">
        <v>46</v>
      </c>
      <c r="G726">
        <v>310833.39</v>
      </c>
      <c r="H726">
        <v>127317.85</v>
      </c>
      <c r="I726" t="s">
        <v>18</v>
      </c>
      <c r="J726" t="s">
        <v>19</v>
      </c>
      <c r="K726">
        <v>183515.54</v>
      </c>
      <c r="L726">
        <v>0.59039841247428404</v>
      </c>
    </row>
    <row r="727" spans="1:12" x14ac:dyDescent="0.35">
      <c r="A727" t="s">
        <v>2526</v>
      </c>
      <c r="B727" s="1">
        <v>46156</v>
      </c>
      <c r="C727" t="s">
        <v>52</v>
      </c>
      <c r="D727" t="s">
        <v>36</v>
      </c>
      <c r="E727" t="s">
        <v>109</v>
      </c>
      <c r="F727" t="s">
        <v>79</v>
      </c>
      <c r="G727">
        <v>474450.23</v>
      </c>
      <c r="H727">
        <v>282879.74</v>
      </c>
      <c r="I727" t="s">
        <v>49</v>
      </c>
      <c r="J727" t="s">
        <v>19</v>
      </c>
      <c r="K727">
        <v>191570.49</v>
      </c>
      <c r="L727">
        <v>0.40377362658249738</v>
      </c>
    </row>
    <row r="728" spans="1:12" x14ac:dyDescent="0.35">
      <c r="A728" t="s">
        <v>2529</v>
      </c>
      <c r="B728" s="1">
        <v>46054</v>
      </c>
      <c r="C728" t="s">
        <v>12</v>
      </c>
      <c r="D728" t="s">
        <v>53</v>
      </c>
      <c r="E728" t="s">
        <v>109</v>
      </c>
      <c r="F728" t="s">
        <v>46</v>
      </c>
      <c r="G728">
        <v>449099.84</v>
      </c>
      <c r="H728">
        <v>422063.06</v>
      </c>
      <c r="I728" t="s">
        <v>18</v>
      </c>
      <c r="J728" t="s">
        <v>19</v>
      </c>
      <c r="K728">
        <v>27036.780000000028</v>
      </c>
      <c r="L728">
        <v>6.0202159056658822E-2</v>
      </c>
    </row>
    <row r="729" spans="1:12" x14ac:dyDescent="0.35">
      <c r="A729" t="s">
        <v>2532</v>
      </c>
      <c r="B729" s="1">
        <v>46030</v>
      </c>
      <c r="C729" t="s">
        <v>12</v>
      </c>
      <c r="D729" t="s">
        <v>53</v>
      </c>
      <c r="E729" t="s">
        <v>109</v>
      </c>
      <c r="F729" t="s">
        <v>79</v>
      </c>
      <c r="G729">
        <v>82322.64</v>
      </c>
      <c r="H729">
        <v>58381.33</v>
      </c>
      <c r="I729" t="s">
        <v>49</v>
      </c>
      <c r="J729" t="s">
        <v>41</v>
      </c>
      <c r="K729">
        <v>23941.309999999998</v>
      </c>
      <c r="L729">
        <v>0.29082291335652011</v>
      </c>
    </row>
    <row r="730" spans="1:12" x14ac:dyDescent="0.35">
      <c r="A730" t="s">
        <v>2535</v>
      </c>
      <c r="B730" s="1">
        <v>46154</v>
      </c>
      <c r="C730" t="s">
        <v>12</v>
      </c>
      <c r="D730" t="s">
        <v>23</v>
      </c>
      <c r="E730" t="s">
        <v>134</v>
      </c>
      <c r="F730" t="s">
        <v>79</v>
      </c>
      <c r="G730">
        <v>392014.58</v>
      </c>
      <c r="H730">
        <v>175670.94</v>
      </c>
      <c r="I730" t="s">
        <v>18</v>
      </c>
      <c r="J730" t="s">
        <v>19</v>
      </c>
      <c r="K730">
        <v>216343.64</v>
      </c>
      <c r="L730">
        <v>0.55187651438882712</v>
      </c>
    </row>
    <row r="731" spans="1:12" x14ac:dyDescent="0.35">
      <c r="A731" t="s">
        <v>2538</v>
      </c>
      <c r="B731" s="1">
        <v>46031</v>
      </c>
      <c r="C731" t="s">
        <v>52</v>
      </c>
      <c r="D731" t="s">
        <v>53</v>
      </c>
      <c r="E731" t="s">
        <v>37</v>
      </c>
      <c r="F731" t="s">
        <v>25</v>
      </c>
      <c r="G731">
        <v>168892.24</v>
      </c>
      <c r="H731">
        <v>124921.02</v>
      </c>
      <c r="I731" t="s">
        <v>18</v>
      </c>
      <c r="J731" t="s">
        <v>19</v>
      </c>
      <c r="K731">
        <v>43971.219999999987</v>
      </c>
      <c r="L731">
        <v>0.26035074198790892</v>
      </c>
    </row>
    <row r="732" spans="1:12" x14ac:dyDescent="0.35">
      <c r="A732" t="s">
        <v>2541</v>
      </c>
      <c r="B732" s="1">
        <v>46196</v>
      </c>
      <c r="C732" t="s">
        <v>52</v>
      </c>
      <c r="D732" t="s">
        <v>23</v>
      </c>
      <c r="E732" t="s">
        <v>14</v>
      </c>
      <c r="F732" t="s">
        <v>46</v>
      </c>
      <c r="G732">
        <v>216131.17</v>
      </c>
      <c r="H732">
        <v>147186.79999999999</v>
      </c>
      <c r="I732" t="s">
        <v>49</v>
      </c>
      <c r="J732" t="s">
        <v>41</v>
      </c>
      <c r="K732">
        <v>68944.370000000024</v>
      </c>
      <c r="L732">
        <v>0.3189931836301077</v>
      </c>
    </row>
    <row r="733" spans="1:12" x14ac:dyDescent="0.35">
      <c r="A733" t="s">
        <v>2545</v>
      </c>
      <c r="B733" s="1">
        <v>46134</v>
      </c>
      <c r="C733" t="s">
        <v>99</v>
      </c>
      <c r="D733" t="s">
        <v>23</v>
      </c>
      <c r="E733" t="s">
        <v>45</v>
      </c>
      <c r="F733" t="s">
        <v>74</v>
      </c>
      <c r="G733">
        <v>373296.35</v>
      </c>
      <c r="H733">
        <v>342221.99</v>
      </c>
      <c r="I733" t="s">
        <v>18</v>
      </c>
      <c r="J733" t="s">
        <v>41</v>
      </c>
      <c r="K733">
        <v>31074.359999999986</v>
      </c>
      <c r="L733">
        <v>8.3243139130612945E-2</v>
      </c>
    </row>
    <row r="734" spans="1:12" x14ac:dyDescent="0.35">
      <c r="A734" t="s">
        <v>2548</v>
      </c>
      <c r="B734" s="1">
        <v>46087</v>
      </c>
      <c r="C734" t="s">
        <v>67</v>
      </c>
      <c r="D734" t="s">
        <v>23</v>
      </c>
      <c r="E734" t="s">
        <v>37</v>
      </c>
      <c r="F734" t="s">
        <v>46</v>
      </c>
      <c r="G734">
        <v>156828.10999999999</v>
      </c>
      <c r="H734">
        <v>120759.31</v>
      </c>
      <c r="I734" t="s">
        <v>32</v>
      </c>
      <c r="J734" t="s">
        <v>41</v>
      </c>
      <c r="K734">
        <v>36068.799999999988</v>
      </c>
      <c r="L734">
        <v>0.22998938136791924</v>
      </c>
    </row>
    <row r="735" spans="1:12" x14ac:dyDescent="0.35">
      <c r="A735" t="s">
        <v>2551</v>
      </c>
      <c r="B735" s="1">
        <v>46192</v>
      </c>
      <c r="C735" t="s">
        <v>99</v>
      </c>
      <c r="D735" t="s">
        <v>36</v>
      </c>
      <c r="E735" t="s">
        <v>24</v>
      </c>
      <c r="F735" t="s">
        <v>15</v>
      </c>
      <c r="G735">
        <v>50512.39</v>
      </c>
      <c r="H735">
        <v>40566.050000000003</v>
      </c>
      <c r="I735" t="s">
        <v>49</v>
      </c>
      <c r="J735" t="s">
        <v>41</v>
      </c>
      <c r="K735">
        <v>9946.3399999999965</v>
      </c>
      <c r="L735">
        <v>0.19690891680239236</v>
      </c>
    </row>
    <row r="736" spans="1:12" x14ac:dyDescent="0.35">
      <c r="A736" t="s">
        <v>2554</v>
      </c>
      <c r="B736" s="1">
        <v>46150</v>
      </c>
      <c r="C736" t="s">
        <v>99</v>
      </c>
      <c r="D736" t="s">
        <v>23</v>
      </c>
      <c r="E736" t="s">
        <v>134</v>
      </c>
      <c r="F736" t="s">
        <v>15</v>
      </c>
      <c r="G736">
        <v>470748.25</v>
      </c>
      <c r="H736">
        <v>337865.06</v>
      </c>
      <c r="I736" t="s">
        <v>49</v>
      </c>
      <c r="J736" t="s">
        <v>41</v>
      </c>
      <c r="K736">
        <v>132883.19</v>
      </c>
      <c r="L736">
        <v>0.28228079445860926</v>
      </c>
    </row>
    <row r="737" spans="1:12" x14ac:dyDescent="0.35">
      <c r="A737" t="s">
        <v>2557</v>
      </c>
      <c r="B737" s="1">
        <v>46137</v>
      </c>
      <c r="C737" t="s">
        <v>12</v>
      </c>
      <c r="D737" t="s">
        <v>36</v>
      </c>
      <c r="E737" t="s">
        <v>14</v>
      </c>
      <c r="F737" t="s">
        <v>79</v>
      </c>
      <c r="G737">
        <v>102054.15</v>
      </c>
      <c r="H737">
        <v>44727.1</v>
      </c>
      <c r="I737" t="s">
        <v>18</v>
      </c>
      <c r="J737" t="s">
        <v>19</v>
      </c>
      <c r="K737">
        <v>57327.049999999996</v>
      </c>
      <c r="L737">
        <v>0.56173168852026101</v>
      </c>
    </row>
    <row r="738" spans="1:12" x14ac:dyDescent="0.35">
      <c r="A738" t="s">
        <v>2561</v>
      </c>
      <c r="B738" s="1">
        <v>46118</v>
      </c>
      <c r="C738" t="s">
        <v>12</v>
      </c>
      <c r="D738" t="s">
        <v>36</v>
      </c>
      <c r="E738" t="s">
        <v>134</v>
      </c>
      <c r="F738" t="s">
        <v>46</v>
      </c>
      <c r="G738">
        <v>134567.29</v>
      </c>
      <c r="H738">
        <v>69123.17</v>
      </c>
      <c r="I738" t="s">
        <v>32</v>
      </c>
      <c r="J738" t="s">
        <v>41</v>
      </c>
      <c r="K738">
        <v>65444.12000000001</v>
      </c>
      <c r="L738">
        <v>0.48633007322953448</v>
      </c>
    </row>
    <row r="739" spans="1:12" x14ac:dyDescent="0.35">
      <c r="A739" t="s">
        <v>2565</v>
      </c>
      <c r="B739" s="1">
        <v>46117</v>
      </c>
      <c r="C739" t="s">
        <v>12</v>
      </c>
      <c r="D739" t="s">
        <v>23</v>
      </c>
      <c r="E739" t="s">
        <v>24</v>
      </c>
      <c r="F739" t="s">
        <v>74</v>
      </c>
      <c r="G739">
        <v>421616.34</v>
      </c>
      <c r="H739">
        <v>202201.58</v>
      </c>
      <c r="I739" t="s">
        <v>32</v>
      </c>
      <c r="J739" t="s">
        <v>19</v>
      </c>
      <c r="K739">
        <v>219414.76000000004</v>
      </c>
      <c r="L739">
        <v>0.52041332174175226</v>
      </c>
    </row>
    <row r="740" spans="1:12" x14ac:dyDescent="0.35">
      <c r="A740" t="s">
        <v>2568</v>
      </c>
      <c r="B740" s="1">
        <v>46191</v>
      </c>
      <c r="C740" t="s">
        <v>99</v>
      </c>
      <c r="D740" t="s">
        <v>36</v>
      </c>
      <c r="E740" t="s">
        <v>14</v>
      </c>
      <c r="F740" t="s">
        <v>25</v>
      </c>
      <c r="G740">
        <v>341797.36</v>
      </c>
      <c r="H740">
        <v>159361.81</v>
      </c>
      <c r="I740" t="s">
        <v>32</v>
      </c>
      <c r="J740" t="s">
        <v>41</v>
      </c>
      <c r="K740">
        <v>182435.55</v>
      </c>
      <c r="L740">
        <v>0.53375353747612331</v>
      </c>
    </row>
    <row r="741" spans="1:12" x14ac:dyDescent="0.35">
      <c r="A741" t="s">
        <v>2571</v>
      </c>
      <c r="B741" s="1">
        <v>46176</v>
      </c>
      <c r="C741" t="s">
        <v>12</v>
      </c>
      <c r="D741" t="s">
        <v>53</v>
      </c>
      <c r="E741" t="s">
        <v>45</v>
      </c>
      <c r="F741" t="s">
        <v>46</v>
      </c>
      <c r="G741">
        <v>222418.72</v>
      </c>
      <c r="H741">
        <v>147473.24</v>
      </c>
      <c r="I741" t="s">
        <v>49</v>
      </c>
      <c r="J741" t="s">
        <v>41</v>
      </c>
      <c r="K741">
        <v>74945.48000000001</v>
      </c>
      <c r="L741">
        <v>0.33695670939928085</v>
      </c>
    </row>
    <row r="742" spans="1:12" x14ac:dyDescent="0.35">
      <c r="A742" t="s">
        <v>2574</v>
      </c>
      <c r="B742" s="1">
        <v>46095</v>
      </c>
      <c r="C742" t="s">
        <v>3383</v>
      </c>
      <c r="D742" t="s">
        <v>53</v>
      </c>
      <c r="E742" t="s">
        <v>37</v>
      </c>
      <c r="F742" t="s">
        <v>74</v>
      </c>
      <c r="G742">
        <v>218986.69</v>
      </c>
      <c r="H742">
        <v>167575.24</v>
      </c>
      <c r="I742" t="s">
        <v>18</v>
      </c>
      <c r="J742" t="s">
        <v>41</v>
      </c>
      <c r="K742">
        <v>51411.450000000012</v>
      </c>
      <c r="L742">
        <v>0.23476974787828433</v>
      </c>
    </row>
    <row r="743" spans="1:12" x14ac:dyDescent="0.35">
      <c r="A743" t="s">
        <v>2577</v>
      </c>
      <c r="B743" s="1">
        <v>46114</v>
      </c>
      <c r="C743" t="s">
        <v>3383</v>
      </c>
      <c r="D743" t="s">
        <v>53</v>
      </c>
      <c r="E743" t="s">
        <v>134</v>
      </c>
      <c r="F743" t="s">
        <v>46</v>
      </c>
      <c r="G743">
        <v>327229.01</v>
      </c>
      <c r="H743">
        <v>168495.43</v>
      </c>
      <c r="I743" t="s">
        <v>18</v>
      </c>
      <c r="J743" t="s">
        <v>19</v>
      </c>
      <c r="K743">
        <v>158733.58000000002</v>
      </c>
      <c r="L743">
        <v>0.48508407002178694</v>
      </c>
    </row>
    <row r="744" spans="1:12" x14ac:dyDescent="0.35">
      <c r="A744" t="s">
        <v>2580</v>
      </c>
      <c r="B744" s="1">
        <v>46108</v>
      </c>
      <c r="C744" t="s">
        <v>99</v>
      </c>
      <c r="D744" t="s">
        <v>36</v>
      </c>
      <c r="E744" t="s">
        <v>24</v>
      </c>
      <c r="F744" t="s">
        <v>74</v>
      </c>
      <c r="G744">
        <v>82179.33</v>
      </c>
      <c r="H744">
        <v>75651.77</v>
      </c>
      <c r="I744" t="s">
        <v>49</v>
      </c>
      <c r="J744" t="s">
        <v>19</v>
      </c>
      <c r="K744">
        <v>6527.5599999999977</v>
      </c>
      <c r="L744">
        <v>7.9430679223108744E-2</v>
      </c>
    </row>
    <row r="745" spans="1:12" x14ac:dyDescent="0.35">
      <c r="A745" t="s">
        <v>2583</v>
      </c>
      <c r="B745" s="1">
        <v>46160</v>
      </c>
      <c r="C745" t="s">
        <v>52</v>
      </c>
      <c r="D745" t="s">
        <v>36</v>
      </c>
      <c r="E745" t="s">
        <v>134</v>
      </c>
      <c r="F745" t="s">
        <v>79</v>
      </c>
      <c r="G745">
        <v>206335.87</v>
      </c>
      <c r="H745">
        <v>164467.51999999999</v>
      </c>
      <c r="I745" t="s">
        <v>49</v>
      </c>
      <c r="J745" t="s">
        <v>19</v>
      </c>
      <c r="K745">
        <v>41868.350000000006</v>
      </c>
      <c r="L745">
        <v>0.20291357968927073</v>
      </c>
    </row>
    <row r="746" spans="1:12" x14ac:dyDescent="0.35">
      <c r="A746" t="s">
        <v>2586</v>
      </c>
      <c r="B746" s="1">
        <v>46053</v>
      </c>
      <c r="C746" t="s">
        <v>67</v>
      </c>
      <c r="D746" t="s">
        <v>53</v>
      </c>
      <c r="E746" t="s">
        <v>14</v>
      </c>
      <c r="F746" t="s">
        <v>15</v>
      </c>
      <c r="G746">
        <v>262388.56</v>
      </c>
      <c r="H746">
        <v>232620.26</v>
      </c>
      <c r="I746" t="s">
        <v>49</v>
      </c>
      <c r="J746" t="s">
        <v>41</v>
      </c>
      <c r="K746">
        <v>29768.299999999988</v>
      </c>
      <c r="L746">
        <v>0.11345121144001091</v>
      </c>
    </row>
    <row r="747" spans="1:12" x14ac:dyDescent="0.35">
      <c r="A747" t="s">
        <v>2589</v>
      </c>
      <c r="B747" s="1">
        <v>46108</v>
      </c>
      <c r="C747" t="s">
        <v>3383</v>
      </c>
      <c r="D747" t="s">
        <v>23</v>
      </c>
      <c r="E747" t="s">
        <v>24</v>
      </c>
      <c r="F747" t="s">
        <v>15</v>
      </c>
      <c r="G747">
        <v>211529.47</v>
      </c>
      <c r="H747">
        <v>124719.64</v>
      </c>
      <c r="I747" t="s">
        <v>18</v>
      </c>
      <c r="J747" t="s">
        <v>41</v>
      </c>
      <c r="K747">
        <v>86809.83</v>
      </c>
      <c r="L747">
        <v>0.41039118568207067</v>
      </c>
    </row>
    <row r="748" spans="1:12" x14ac:dyDescent="0.35">
      <c r="A748" t="s">
        <v>2593</v>
      </c>
      <c r="B748" s="1">
        <v>46086</v>
      </c>
      <c r="C748" t="s">
        <v>12</v>
      </c>
      <c r="D748" t="s">
        <v>23</v>
      </c>
      <c r="E748" t="s">
        <v>109</v>
      </c>
      <c r="F748" t="s">
        <v>46</v>
      </c>
      <c r="G748">
        <v>103492.21</v>
      </c>
      <c r="H748">
        <v>41933.72</v>
      </c>
      <c r="I748" t="s">
        <v>49</v>
      </c>
      <c r="J748" t="s">
        <v>41</v>
      </c>
      <c r="K748">
        <v>61558.490000000005</v>
      </c>
      <c r="L748">
        <v>0.59481278832484108</v>
      </c>
    </row>
    <row r="749" spans="1:12" x14ac:dyDescent="0.35">
      <c r="A749" t="s">
        <v>2596</v>
      </c>
      <c r="B749" s="1">
        <v>46082</v>
      </c>
      <c r="C749" t="s">
        <v>99</v>
      </c>
      <c r="D749" t="s">
        <v>36</v>
      </c>
      <c r="E749" t="s">
        <v>109</v>
      </c>
      <c r="F749" t="s">
        <v>74</v>
      </c>
      <c r="G749">
        <v>422103.76</v>
      </c>
      <c r="H749">
        <v>394289.15</v>
      </c>
      <c r="I749" t="s">
        <v>32</v>
      </c>
      <c r="J749" t="s">
        <v>19</v>
      </c>
      <c r="K749">
        <v>27814.609999999986</v>
      </c>
      <c r="L749">
        <v>6.5895196005835113E-2</v>
      </c>
    </row>
    <row r="750" spans="1:12" x14ac:dyDescent="0.35">
      <c r="A750" t="s">
        <v>2599</v>
      </c>
      <c r="B750" s="1">
        <v>46061</v>
      </c>
      <c r="C750" t="s">
        <v>12</v>
      </c>
      <c r="D750" t="s">
        <v>23</v>
      </c>
      <c r="E750" t="s">
        <v>37</v>
      </c>
      <c r="F750" t="s">
        <v>46</v>
      </c>
      <c r="G750">
        <v>469716.24</v>
      </c>
      <c r="H750">
        <v>405347.51</v>
      </c>
      <c r="I750" t="s">
        <v>18</v>
      </c>
      <c r="J750" t="s">
        <v>41</v>
      </c>
      <c r="K750">
        <v>64368.729999999981</v>
      </c>
      <c r="L750">
        <v>0.13703748033067792</v>
      </c>
    </row>
    <row r="751" spans="1:12" x14ac:dyDescent="0.35">
      <c r="A751" t="s">
        <v>2602</v>
      </c>
      <c r="B751" s="1">
        <v>46182</v>
      </c>
      <c r="C751" t="s">
        <v>12</v>
      </c>
      <c r="D751" t="s">
        <v>23</v>
      </c>
      <c r="E751" t="s">
        <v>37</v>
      </c>
      <c r="F751" t="s">
        <v>25</v>
      </c>
      <c r="G751">
        <v>261386.13</v>
      </c>
      <c r="H751">
        <v>187767.13</v>
      </c>
      <c r="I751" t="s">
        <v>49</v>
      </c>
      <c r="J751" t="s">
        <v>19</v>
      </c>
      <c r="K751">
        <v>73619</v>
      </c>
      <c r="L751">
        <v>0.28164845625129381</v>
      </c>
    </row>
    <row r="752" spans="1:12" x14ac:dyDescent="0.35">
      <c r="A752" t="s">
        <v>2605</v>
      </c>
      <c r="B752" s="1">
        <v>46174</v>
      </c>
      <c r="C752" t="s">
        <v>67</v>
      </c>
      <c r="D752" t="s">
        <v>36</v>
      </c>
      <c r="E752" t="s">
        <v>37</v>
      </c>
      <c r="F752" t="s">
        <v>25</v>
      </c>
      <c r="G752">
        <v>184270.57</v>
      </c>
      <c r="H752">
        <v>78710.7</v>
      </c>
      <c r="I752" t="s">
        <v>32</v>
      </c>
      <c r="J752" t="s">
        <v>19</v>
      </c>
      <c r="K752">
        <v>105559.87000000001</v>
      </c>
      <c r="L752">
        <v>0.57285257217145424</v>
      </c>
    </row>
    <row r="753" spans="1:12" x14ac:dyDescent="0.35">
      <c r="A753" t="s">
        <v>2609</v>
      </c>
      <c r="B753" s="1">
        <v>46138</v>
      </c>
      <c r="C753" t="s">
        <v>67</v>
      </c>
      <c r="D753" t="s">
        <v>23</v>
      </c>
      <c r="E753" t="s">
        <v>14</v>
      </c>
      <c r="F753" t="s">
        <v>74</v>
      </c>
      <c r="G753">
        <v>64342.91</v>
      </c>
      <c r="H753">
        <v>33787.879999999997</v>
      </c>
      <c r="I753" t="s">
        <v>18</v>
      </c>
      <c r="J753" t="s">
        <v>41</v>
      </c>
      <c r="K753">
        <v>30555.030000000006</v>
      </c>
      <c r="L753">
        <v>0.47487796246703801</v>
      </c>
    </row>
    <row r="754" spans="1:12" x14ac:dyDescent="0.35">
      <c r="A754" t="s">
        <v>2612</v>
      </c>
      <c r="B754" s="1">
        <v>46194</v>
      </c>
      <c r="C754" t="s">
        <v>52</v>
      </c>
      <c r="D754" t="s">
        <v>23</v>
      </c>
      <c r="E754" t="s">
        <v>134</v>
      </c>
      <c r="F754" t="s">
        <v>46</v>
      </c>
      <c r="G754">
        <v>239791</v>
      </c>
      <c r="H754">
        <v>117983.31</v>
      </c>
      <c r="I754" t="s">
        <v>32</v>
      </c>
      <c r="J754" t="s">
        <v>19</v>
      </c>
      <c r="K754">
        <v>121807.69</v>
      </c>
      <c r="L754">
        <v>0.50797440270902583</v>
      </c>
    </row>
    <row r="755" spans="1:12" x14ac:dyDescent="0.35">
      <c r="A755" t="s">
        <v>2615</v>
      </c>
      <c r="B755" s="1">
        <v>46119</v>
      </c>
      <c r="C755" t="s">
        <v>99</v>
      </c>
      <c r="D755" t="s">
        <v>23</v>
      </c>
      <c r="E755" t="s">
        <v>14</v>
      </c>
      <c r="F755" t="s">
        <v>25</v>
      </c>
      <c r="G755">
        <v>294337.99</v>
      </c>
      <c r="H755">
        <v>255596.85</v>
      </c>
      <c r="I755" t="s">
        <v>32</v>
      </c>
      <c r="J755" t="s">
        <v>19</v>
      </c>
      <c r="K755">
        <v>38741.139999999985</v>
      </c>
      <c r="L755">
        <v>0.13162126981977415</v>
      </c>
    </row>
    <row r="756" spans="1:12" x14ac:dyDescent="0.35">
      <c r="A756" t="s">
        <v>2618</v>
      </c>
      <c r="B756" s="1">
        <v>46159</v>
      </c>
      <c r="C756" t="s">
        <v>12</v>
      </c>
      <c r="D756" t="s">
        <v>53</v>
      </c>
      <c r="E756" t="s">
        <v>24</v>
      </c>
      <c r="F756" t="s">
        <v>74</v>
      </c>
      <c r="G756">
        <v>62962.57</v>
      </c>
      <c r="H756">
        <v>48139.54</v>
      </c>
      <c r="I756" t="s">
        <v>18</v>
      </c>
      <c r="J756" t="s">
        <v>41</v>
      </c>
      <c r="K756">
        <v>14823.029999999999</v>
      </c>
      <c r="L756">
        <v>0.23542606345325484</v>
      </c>
    </row>
    <row r="757" spans="1:12" x14ac:dyDescent="0.35">
      <c r="A757" t="s">
        <v>2621</v>
      </c>
      <c r="B757" s="1">
        <v>46071</v>
      </c>
      <c r="C757" t="s">
        <v>3383</v>
      </c>
      <c r="D757" t="s">
        <v>23</v>
      </c>
      <c r="E757" t="s">
        <v>37</v>
      </c>
      <c r="F757" t="s">
        <v>15</v>
      </c>
      <c r="G757">
        <v>456521.08</v>
      </c>
      <c r="H757">
        <v>338292.45</v>
      </c>
      <c r="I757" t="s">
        <v>18</v>
      </c>
      <c r="J757" t="s">
        <v>41</v>
      </c>
      <c r="K757">
        <v>118228.63</v>
      </c>
      <c r="L757">
        <v>0.2589773729616166</v>
      </c>
    </row>
    <row r="758" spans="1:12" x14ac:dyDescent="0.35">
      <c r="A758" t="s">
        <v>2624</v>
      </c>
      <c r="B758" s="1">
        <v>46088</v>
      </c>
      <c r="C758" t="s">
        <v>12</v>
      </c>
      <c r="D758" t="s">
        <v>53</v>
      </c>
      <c r="E758" t="s">
        <v>24</v>
      </c>
      <c r="F758" t="s">
        <v>79</v>
      </c>
      <c r="G758">
        <v>263336.49</v>
      </c>
      <c r="H758">
        <v>136663.18</v>
      </c>
      <c r="I758" t="s">
        <v>49</v>
      </c>
      <c r="J758" t="s">
        <v>41</v>
      </c>
      <c r="K758">
        <v>126673.31</v>
      </c>
      <c r="L758">
        <v>0.4810321197795262</v>
      </c>
    </row>
    <row r="759" spans="1:12" x14ac:dyDescent="0.35">
      <c r="A759" t="s">
        <v>2628</v>
      </c>
      <c r="B759" s="1">
        <v>46036</v>
      </c>
      <c r="C759" t="s">
        <v>12</v>
      </c>
      <c r="D759" t="s">
        <v>53</v>
      </c>
      <c r="E759" t="s">
        <v>134</v>
      </c>
      <c r="F759" t="s">
        <v>38</v>
      </c>
      <c r="G759">
        <v>318442.15999999997</v>
      </c>
      <c r="H759">
        <v>248633.02</v>
      </c>
      <c r="I759" t="s">
        <v>32</v>
      </c>
      <c r="J759" t="s">
        <v>41</v>
      </c>
      <c r="K759">
        <v>69809.139999999985</v>
      </c>
      <c r="L759">
        <v>0.21922078408210768</v>
      </c>
    </row>
    <row r="760" spans="1:12" x14ac:dyDescent="0.35">
      <c r="A760" t="s">
        <v>2631</v>
      </c>
      <c r="B760" s="1">
        <v>46029</v>
      </c>
      <c r="C760" t="s">
        <v>3383</v>
      </c>
      <c r="D760" t="s">
        <v>36</v>
      </c>
      <c r="E760" t="s">
        <v>45</v>
      </c>
      <c r="F760" t="s">
        <v>38</v>
      </c>
      <c r="G760">
        <v>250877.1</v>
      </c>
      <c r="H760">
        <v>121004.41</v>
      </c>
      <c r="I760" t="s">
        <v>49</v>
      </c>
      <c r="J760" t="s">
        <v>19</v>
      </c>
      <c r="K760">
        <v>129872.69</v>
      </c>
      <c r="L760">
        <v>0.51767455060665157</v>
      </c>
    </row>
    <row r="761" spans="1:12" x14ac:dyDescent="0.35">
      <c r="A761" t="s">
        <v>2634</v>
      </c>
      <c r="B761" s="1">
        <v>46182</v>
      </c>
      <c r="C761" t="s">
        <v>12</v>
      </c>
      <c r="D761" t="s">
        <v>36</v>
      </c>
      <c r="E761" t="s">
        <v>45</v>
      </c>
      <c r="F761" t="s">
        <v>25</v>
      </c>
      <c r="G761">
        <v>421542.05</v>
      </c>
      <c r="H761">
        <v>366350.89</v>
      </c>
      <c r="I761" t="s">
        <v>32</v>
      </c>
      <c r="J761" t="s">
        <v>19</v>
      </c>
      <c r="K761">
        <v>55191.159999999974</v>
      </c>
      <c r="L761">
        <v>0.13092681975617848</v>
      </c>
    </row>
    <row r="762" spans="1:12" x14ac:dyDescent="0.35">
      <c r="A762" t="s">
        <v>2637</v>
      </c>
      <c r="B762" s="1">
        <v>46062</v>
      </c>
      <c r="C762" t="s">
        <v>12</v>
      </c>
      <c r="D762" t="s">
        <v>36</v>
      </c>
      <c r="E762" t="s">
        <v>37</v>
      </c>
      <c r="F762" t="s">
        <v>25</v>
      </c>
      <c r="G762">
        <v>181994.62</v>
      </c>
      <c r="H762">
        <v>116448.73</v>
      </c>
      <c r="I762" t="s">
        <v>49</v>
      </c>
      <c r="J762" t="s">
        <v>41</v>
      </c>
      <c r="K762">
        <v>65545.89</v>
      </c>
      <c r="L762">
        <v>0.36015289902525693</v>
      </c>
    </row>
    <row r="763" spans="1:12" x14ac:dyDescent="0.35">
      <c r="A763" t="s">
        <v>2640</v>
      </c>
      <c r="B763" s="1">
        <v>46139</v>
      </c>
      <c r="C763" t="s">
        <v>12</v>
      </c>
      <c r="D763" t="s">
        <v>36</v>
      </c>
      <c r="E763" t="s">
        <v>109</v>
      </c>
      <c r="F763" t="s">
        <v>25</v>
      </c>
      <c r="G763">
        <v>127585.93</v>
      </c>
      <c r="H763">
        <v>66793.460000000006</v>
      </c>
      <c r="I763" t="s">
        <v>32</v>
      </c>
      <c r="J763" t="s">
        <v>19</v>
      </c>
      <c r="K763">
        <v>60792.469999999987</v>
      </c>
      <c r="L763">
        <v>0.4764825557175465</v>
      </c>
    </row>
    <row r="764" spans="1:12" x14ac:dyDescent="0.35">
      <c r="A764" t="s">
        <v>2643</v>
      </c>
      <c r="B764" s="1">
        <v>46125</v>
      </c>
      <c r="C764" t="s">
        <v>52</v>
      </c>
      <c r="D764" t="s">
        <v>23</v>
      </c>
      <c r="E764" t="s">
        <v>37</v>
      </c>
      <c r="F764" t="s">
        <v>38</v>
      </c>
      <c r="G764">
        <v>160703.62</v>
      </c>
      <c r="H764">
        <v>105986.2</v>
      </c>
      <c r="I764" t="s">
        <v>32</v>
      </c>
      <c r="J764" t="s">
        <v>19</v>
      </c>
      <c r="K764">
        <v>54717.42</v>
      </c>
      <c r="L764">
        <v>0.34048654286692481</v>
      </c>
    </row>
    <row r="765" spans="1:12" x14ac:dyDescent="0.35">
      <c r="A765" t="s">
        <v>2646</v>
      </c>
      <c r="B765" s="1">
        <v>46043</v>
      </c>
      <c r="C765" t="s">
        <v>12</v>
      </c>
      <c r="D765" t="s">
        <v>36</v>
      </c>
      <c r="E765" t="s">
        <v>14</v>
      </c>
      <c r="F765" t="s">
        <v>79</v>
      </c>
      <c r="G765">
        <v>225050.52</v>
      </c>
      <c r="H765">
        <v>190640.7</v>
      </c>
      <c r="I765" t="s">
        <v>18</v>
      </c>
      <c r="J765" t="s">
        <v>19</v>
      </c>
      <c r="K765">
        <v>34409.819999999978</v>
      </c>
      <c r="L765">
        <v>0.15289820259024497</v>
      </c>
    </row>
    <row r="766" spans="1:12" x14ac:dyDescent="0.35">
      <c r="A766" t="s">
        <v>2649</v>
      </c>
      <c r="B766" s="1">
        <v>46093</v>
      </c>
      <c r="C766" t="s">
        <v>99</v>
      </c>
      <c r="D766" t="s">
        <v>23</v>
      </c>
      <c r="E766" t="s">
        <v>24</v>
      </c>
      <c r="F766" t="s">
        <v>79</v>
      </c>
      <c r="G766">
        <v>400981.67</v>
      </c>
      <c r="H766">
        <v>164794.04999999999</v>
      </c>
      <c r="I766" t="s">
        <v>18</v>
      </c>
      <c r="J766" t="s">
        <v>41</v>
      </c>
      <c r="K766">
        <v>236187.62</v>
      </c>
      <c r="L766">
        <v>0.58902348329288967</v>
      </c>
    </row>
    <row r="767" spans="1:12" x14ac:dyDescent="0.35">
      <c r="A767" t="s">
        <v>2652</v>
      </c>
      <c r="B767" s="1">
        <v>46046</v>
      </c>
      <c r="C767" t="s">
        <v>99</v>
      </c>
      <c r="D767" t="s">
        <v>23</v>
      </c>
      <c r="E767" t="s">
        <v>45</v>
      </c>
      <c r="F767" t="s">
        <v>38</v>
      </c>
      <c r="G767">
        <v>459907.93</v>
      </c>
      <c r="H767">
        <v>386756.26</v>
      </c>
      <c r="I767" t="s">
        <v>32</v>
      </c>
      <c r="J767" t="s">
        <v>41</v>
      </c>
      <c r="K767">
        <v>73151.669999999984</v>
      </c>
      <c r="L767">
        <v>0.15905720521061681</v>
      </c>
    </row>
    <row r="768" spans="1:12" x14ac:dyDescent="0.35">
      <c r="A768" t="s">
        <v>2655</v>
      </c>
      <c r="B768" s="1">
        <v>46159</v>
      </c>
      <c r="C768" t="s">
        <v>67</v>
      </c>
      <c r="D768" t="s">
        <v>53</v>
      </c>
      <c r="E768" t="s">
        <v>37</v>
      </c>
      <c r="F768" t="s">
        <v>46</v>
      </c>
      <c r="G768">
        <v>400641.33</v>
      </c>
      <c r="H768">
        <v>344851.77</v>
      </c>
      <c r="I768" t="s">
        <v>49</v>
      </c>
      <c r="J768" t="s">
        <v>19</v>
      </c>
      <c r="K768">
        <v>55789.56</v>
      </c>
      <c r="L768">
        <v>0.13925063597407686</v>
      </c>
    </row>
    <row r="769" spans="1:12" x14ac:dyDescent="0.35">
      <c r="A769" t="s">
        <v>2658</v>
      </c>
      <c r="B769" s="1">
        <v>46197</v>
      </c>
      <c r="C769" t="s">
        <v>52</v>
      </c>
      <c r="D769" t="s">
        <v>53</v>
      </c>
      <c r="E769" t="s">
        <v>134</v>
      </c>
      <c r="F769" t="s">
        <v>46</v>
      </c>
      <c r="G769">
        <v>440063.23</v>
      </c>
      <c r="H769">
        <v>319039.75</v>
      </c>
      <c r="I769" t="s">
        <v>49</v>
      </c>
      <c r="J769" t="s">
        <v>19</v>
      </c>
      <c r="K769">
        <v>121023.47999999998</v>
      </c>
      <c r="L769">
        <v>0.27501384289707637</v>
      </c>
    </row>
    <row r="770" spans="1:12" x14ac:dyDescent="0.35">
      <c r="A770" t="s">
        <v>2661</v>
      </c>
      <c r="B770" s="1">
        <v>46122</v>
      </c>
      <c r="C770" t="s">
        <v>12</v>
      </c>
      <c r="D770" t="s">
        <v>23</v>
      </c>
      <c r="E770" t="s">
        <v>14</v>
      </c>
      <c r="F770" t="s">
        <v>46</v>
      </c>
      <c r="G770">
        <v>347994.56</v>
      </c>
      <c r="H770">
        <v>202388.31</v>
      </c>
      <c r="I770" t="s">
        <v>49</v>
      </c>
      <c r="J770" t="s">
        <v>19</v>
      </c>
      <c r="K770">
        <v>145606.25</v>
      </c>
      <c r="L770">
        <v>0.41841530511281555</v>
      </c>
    </row>
    <row r="771" spans="1:12" x14ac:dyDescent="0.35">
      <c r="A771" t="s">
        <v>2664</v>
      </c>
      <c r="B771" s="1">
        <v>46154</v>
      </c>
      <c r="C771" t="s">
        <v>12</v>
      </c>
      <c r="D771" t="s">
        <v>36</v>
      </c>
      <c r="E771" t="s">
        <v>24</v>
      </c>
      <c r="F771" t="s">
        <v>25</v>
      </c>
      <c r="G771">
        <v>348145.2</v>
      </c>
      <c r="H771">
        <v>140062.45000000001</v>
      </c>
      <c r="I771" t="s">
        <v>49</v>
      </c>
      <c r="J771" t="s">
        <v>19</v>
      </c>
      <c r="K771">
        <v>208082.75</v>
      </c>
      <c r="L771">
        <v>0.59768955596687812</v>
      </c>
    </row>
    <row r="772" spans="1:12" x14ac:dyDescent="0.35">
      <c r="A772" t="s">
        <v>2667</v>
      </c>
      <c r="B772" s="1">
        <v>46149</v>
      </c>
      <c r="C772" t="s">
        <v>99</v>
      </c>
      <c r="D772" t="s">
        <v>23</v>
      </c>
      <c r="E772" t="s">
        <v>24</v>
      </c>
      <c r="F772" t="s">
        <v>46</v>
      </c>
      <c r="G772">
        <v>53455.38</v>
      </c>
      <c r="H772">
        <v>42036.51</v>
      </c>
      <c r="I772" t="s">
        <v>49</v>
      </c>
      <c r="J772" t="s">
        <v>41</v>
      </c>
      <c r="K772">
        <v>11418.869999999995</v>
      </c>
      <c r="L772">
        <v>0.21361498131712833</v>
      </c>
    </row>
    <row r="773" spans="1:12" x14ac:dyDescent="0.35">
      <c r="A773" t="s">
        <v>2670</v>
      </c>
      <c r="B773" s="1">
        <v>46189</v>
      </c>
      <c r="C773" t="s">
        <v>12</v>
      </c>
      <c r="D773" t="s">
        <v>36</v>
      </c>
      <c r="E773" t="s">
        <v>45</v>
      </c>
      <c r="F773" t="s">
        <v>79</v>
      </c>
      <c r="G773">
        <v>193954.19</v>
      </c>
      <c r="H773">
        <v>150502.53</v>
      </c>
      <c r="I773" t="s">
        <v>18</v>
      </c>
      <c r="J773" t="s">
        <v>19</v>
      </c>
      <c r="K773">
        <v>43451.66</v>
      </c>
      <c r="L773">
        <v>0.22403053009579221</v>
      </c>
    </row>
    <row r="774" spans="1:12" x14ac:dyDescent="0.35">
      <c r="A774" t="s">
        <v>2673</v>
      </c>
      <c r="B774" s="1">
        <v>46142</v>
      </c>
      <c r="C774" t="s">
        <v>12</v>
      </c>
      <c r="D774" t="s">
        <v>53</v>
      </c>
      <c r="E774" t="s">
        <v>37</v>
      </c>
      <c r="F774" t="s">
        <v>79</v>
      </c>
      <c r="G774">
        <v>299020.59999999998</v>
      </c>
      <c r="H774">
        <v>210950.32</v>
      </c>
      <c r="I774" t="s">
        <v>18</v>
      </c>
      <c r="J774" t="s">
        <v>19</v>
      </c>
      <c r="K774">
        <v>88070.27999999997</v>
      </c>
      <c r="L774">
        <v>0.29452913946396997</v>
      </c>
    </row>
    <row r="775" spans="1:12" x14ac:dyDescent="0.35">
      <c r="A775" t="s">
        <v>2676</v>
      </c>
      <c r="B775" s="1">
        <v>46135</v>
      </c>
      <c r="C775" t="s">
        <v>67</v>
      </c>
      <c r="D775" t="s">
        <v>53</v>
      </c>
      <c r="E775" t="s">
        <v>14</v>
      </c>
      <c r="F775" t="s">
        <v>25</v>
      </c>
      <c r="G775">
        <v>205735.67999999999</v>
      </c>
      <c r="H775">
        <v>107455.82</v>
      </c>
      <c r="I775" t="s">
        <v>32</v>
      </c>
      <c r="J775" t="s">
        <v>19</v>
      </c>
      <c r="K775">
        <v>98279.859999999986</v>
      </c>
      <c r="L775">
        <v>0.47769963868202148</v>
      </c>
    </row>
    <row r="776" spans="1:12" x14ac:dyDescent="0.35">
      <c r="A776" t="s">
        <v>2679</v>
      </c>
      <c r="B776" s="1">
        <v>46038</v>
      </c>
      <c r="C776" t="s">
        <v>12</v>
      </c>
      <c r="D776" t="s">
        <v>23</v>
      </c>
      <c r="E776" t="s">
        <v>45</v>
      </c>
      <c r="F776" t="s">
        <v>46</v>
      </c>
      <c r="G776">
        <v>58225.72</v>
      </c>
      <c r="H776">
        <v>49580.87</v>
      </c>
      <c r="I776" t="s">
        <v>18</v>
      </c>
      <c r="J776" t="s">
        <v>41</v>
      </c>
      <c r="K776">
        <v>8644.8499999999985</v>
      </c>
      <c r="L776">
        <v>0.14847132847820513</v>
      </c>
    </row>
    <row r="777" spans="1:12" x14ac:dyDescent="0.35">
      <c r="A777" t="s">
        <v>2682</v>
      </c>
      <c r="B777" s="1">
        <v>46123</v>
      </c>
      <c r="C777" t="s">
        <v>12</v>
      </c>
      <c r="D777" t="s">
        <v>23</v>
      </c>
      <c r="E777" t="s">
        <v>14</v>
      </c>
      <c r="F777" t="s">
        <v>46</v>
      </c>
      <c r="G777">
        <v>187625.06</v>
      </c>
      <c r="H777">
        <v>164267.45000000001</v>
      </c>
      <c r="I777" t="s">
        <v>32</v>
      </c>
      <c r="J777" t="s">
        <v>19</v>
      </c>
      <c r="K777">
        <v>23357.609999999986</v>
      </c>
      <c r="L777">
        <v>0.12449088623875716</v>
      </c>
    </row>
    <row r="778" spans="1:12" x14ac:dyDescent="0.35">
      <c r="A778" t="s">
        <v>2685</v>
      </c>
      <c r="B778" s="1">
        <v>46105</v>
      </c>
      <c r="C778" t="s">
        <v>12</v>
      </c>
      <c r="D778" t="s">
        <v>23</v>
      </c>
      <c r="E778" t="s">
        <v>109</v>
      </c>
      <c r="F778" t="s">
        <v>79</v>
      </c>
      <c r="G778">
        <v>243059.29</v>
      </c>
      <c r="H778">
        <v>172719.5</v>
      </c>
      <c r="I778" t="s">
        <v>49</v>
      </c>
      <c r="J778" t="s">
        <v>19</v>
      </c>
      <c r="K778">
        <v>70339.790000000008</v>
      </c>
      <c r="L778">
        <v>0.28939354673503737</v>
      </c>
    </row>
    <row r="779" spans="1:12" x14ac:dyDescent="0.35">
      <c r="A779" t="s">
        <v>2688</v>
      </c>
      <c r="B779" s="1">
        <v>46111</v>
      </c>
      <c r="C779" t="s">
        <v>99</v>
      </c>
      <c r="D779" t="s">
        <v>53</v>
      </c>
      <c r="E779" t="s">
        <v>45</v>
      </c>
      <c r="F779" t="s">
        <v>38</v>
      </c>
      <c r="G779">
        <v>173362.95</v>
      </c>
      <c r="H779">
        <v>102747.7</v>
      </c>
      <c r="I779" t="s">
        <v>32</v>
      </c>
      <c r="J779" t="s">
        <v>41</v>
      </c>
      <c r="K779">
        <v>70615.250000000015</v>
      </c>
      <c r="L779">
        <v>0.40732607515042868</v>
      </c>
    </row>
    <row r="780" spans="1:12" x14ac:dyDescent="0.35">
      <c r="A780" t="s">
        <v>2691</v>
      </c>
      <c r="B780" s="1">
        <v>46157</v>
      </c>
      <c r="C780" t="s">
        <v>12</v>
      </c>
      <c r="D780" t="s">
        <v>36</v>
      </c>
      <c r="E780" t="s">
        <v>37</v>
      </c>
      <c r="F780" t="s">
        <v>79</v>
      </c>
      <c r="G780">
        <v>387196.27</v>
      </c>
      <c r="H780">
        <v>245384.79</v>
      </c>
      <c r="I780" t="s">
        <v>18</v>
      </c>
      <c r="J780" t="s">
        <v>19</v>
      </c>
      <c r="K780">
        <v>141811.48000000001</v>
      </c>
      <c r="L780">
        <v>0.36625218522895381</v>
      </c>
    </row>
    <row r="781" spans="1:12" x14ac:dyDescent="0.35">
      <c r="A781" t="s">
        <v>2694</v>
      </c>
      <c r="B781" s="1">
        <v>46100</v>
      </c>
      <c r="C781" t="s">
        <v>12</v>
      </c>
      <c r="D781" t="s">
        <v>53</v>
      </c>
      <c r="E781" t="s">
        <v>109</v>
      </c>
      <c r="F781" t="s">
        <v>25</v>
      </c>
      <c r="G781">
        <v>151725.76999999999</v>
      </c>
      <c r="H781">
        <v>101442.07</v>
      </c>
      <c r="I781" t="s">
        <v>18</v>
      </c>
      <c r="J781" t="s">
        <v>19</v>
      </c>
      <c r="K781">
        <v>50283.699999999983</v>
      </c>
      <c r="L781">
        <v>0.33141173051881684</v>
      </c>
    </row>
    <row r="782" spans="1:12" x14ac:dyDescent="0.35">
      <c r="A782" t="s">
        <v>2697</v>
      </c>
      <c r="B782" s="1">
        <v>46073</v>
      </c>
      <c r="C782" t="s">
        <v>52</v>
      </c>
      <c r="D782" t="s">
        <v>36</v>
      </c>
      <c r="E782" t="s">
        <v>109</v>
      </c>
      <c r="F782" t="s">
        <v>74</v>
      </c>
      <c r="G782">
        <v>94852.44</v>
      </c>
      <c r="H782">
        <v>43172.88</v>
      </c>
      <c r="I782" t="s">
        <v>18</v>
      </c>
      <c r="J782" t="s">
        <v>41</v>
      </c>
      <c r="K782">
        <v>51679.560000000005</v>
      </c>
      <c r="L782">
        <v>0.54484165088425773</v>
      </c>
    </row>
    <row r="783" spans="1:12" x14ac:dyDescent="0.35">
      <c r="A783" t="s">
        <v>2700</v>
      </c>
      <c r="B783" s="1">
        <v>46048</v>
      </c>
      <c r="C783" t="s">
        <v>99</v>
      </c>
      <c r="D783" t="s">
        <v>53</v>
      </c>
      <c r="E783" t="s">
        <v>37</v>
      </c>
      <c r="F783" t="s">
        <v>46</v>
      </c>
      <c r="G783">
        <v>243088.87</v>
      </c>
      <c r="H783">
        <v>136033.60999999999</v>
      </c>
      <c r="I783" t="s">
        <v>18</v>
      </c>
      <c r="J783" t="s">
        <v>41</v>
      </c>
      <c r="K783">
        <v>107055.26000000001</v>
      </c>
      <c r="L783">
        <v>0.44039556397625285</v>
      </c>
    </row>
    <row r="784" spans="1:12" x14ac:dyDescent="0.35">
      <c r="A784" t="s">
        <v>2703</v>
      </c>
      <c r="B784" s="1">
        <v>46023</v>
      </c>
      <c r="C784" t="s">
        <v>12</v>
      </c>
      <c r="D784" t="s">
        <v>36</v>
      </c>
      <c r="E784" t="s">
        <v>134</v>
      </c>
      <c r="F784" t="s">
        <v>74</v>
      </c>
      <c r="G784">
        <v>290918.64</v>
      </c>
      <c r="H784">
        <v>270452.96999999997</v>
      </c>
      <c r="I784" t="s">
        <v>49</v>
      </c>
      <c r="J784" t="s">
        <v>19</v>
      </c>
      <c r="K784">
        <v>20465.670000000042</v>
      </c>
      <c r="L784">
        <v>7.0348431437738196E-2</v>
      </c>
    </row>
    <row r="785" spans="1:12" x14ac:dyDescent="0.35">
      <c r="A785" t="s">
        <v>2706</v>
      </c>
      <c r="B785" s="1">
        <v>46023</v>
      </c>
      <c r="C785" t="s">
        <v>12</v>
      </c>
      <c r="D785" t="s">
        <v>23</v>
      </c>
      <c r="E785" t="s">
        <v>45</v>
      </c>
      <c r="F785" t="s">
        <v>74</v>
      </c>
      <c r="G785">
        <v>125191.2</v>
      </c>
      <c r="H785">
        <v>68542.98</v>
      </c>
      <c r="I785" t="s">
        <v>32</v>
      </c>
      <c r="J785" t="s">
        <v>19</v>
      </c>
      <c r="K785">
        <v>56648.22</v>
      </c>
      <c r="L785">
        <v>0.45249362575005275</v>
      </c>
    </row>
    <row r="786" spans="1:12" x14ac:dyDescent="0.35">
      <c r="A786" t="s">
        <v>2709</v>
      </c>
      <c r="B786" s="1">
        <v>46083</v>
      </c>
      <c r="C786" t="s">
        <v>3383</v>
      </c>
      <c r="D786" t="s">
        <v>23</v>
      </c>
      <c r="E786" t="s">
        <v>14</v>
      </c>
      <c r="F786" t="s">
        <v>74</v>
      </c>
      <c r="G786">
        <v>377339.01</v>
      </c>
      <c r="H786">
        <v>176906.23</v>
      </c>
      <c r="I786" t="s">
        <v>49</v>
      </c>
      <c r="J786" t="s">
        <v>19</v>
      </c>
      <c r="K786">
        <v>200432.78</v>
      </c>
      <c r="L786">
        <v>0.53117428807586042</v>
      </c>
    </row>
    <row r="787" spans="1:12" x14ac:dyDescent="0.35">
      <c r="A787" t="s">
        <v>2712</v>
      </c>
      <c r="B787" s="1">
        <v>46061</v>
      </c>
      <c r="C787" t="s">
        <v>12</v>
      </c>
      <c r="D787" t="s">
        <v>53</v>
      </c>
      <c r="E787" t="s">
        <v>109</v>
      </c>
      <c r="F787" t="s">
        <v>15</v>
      </c>
      <c r="G787">
        <v>196838.45</v>
      </c>
      <c r="H787">
        <v>170216.12</v>
      </c>
      <c r="I787" t="s">
        <v>18</v>
      </c>
      <c r="J787" t="s">
        <v>41</v>
      </c>
      <c r="K787">
        <v>26622.330000000016</v>
      </c>
      <c r="L787">
        <v>0.13524964253681135</v>
      </c>
    </row>
    <row r="788" spans="1:12" x14ac:dyDescent="0.35">
      <c r="A788" t="s">
        <v>2715</v>
      </c>
      <c r="B788" s="1">
        <v>46055</v>
      </c>
      <c r="C788" t="s">
        <v>12</v>
      </c>
      <c r="D788" t="s">
        <v>23</v>
      </c>
      <c r="E788" t="s">
        <v>109</v>
      </c>
      <c r="F788" t="s">
        <v>79</v>
      </c>
      <c r="G788">
        <v>182750.92</v>
      </c>
      <c r="H788">
        <v>81233.86</v>
      </c>
      <c r="I788" t="s">
        <v>18</v>
      </c>
      <c r="J788" t="s">
        <v>41</v>
      </c>
      <c r="K788">
        <v>101517.06000000001</v>
      </c>
      <c r="L788">
        <v>0.55549411187642728</v>
      </c>
    </row>
    <row r="789" spans="1:12" x14ac:dyDescent="0.35">
      <c r="A789" t="s">
        <v>2718</v>
      </c>
      <c r="B789" s="1">
        <v>46169</v>
      </c>
      <c r="C789" t="s">
        <v>12</v>
      </c>
      <c r="D789" t="s">
        <v>23</v>
      </c>
      <c r="E789" t="s">
        <v>14</v>
      </c>
      <c r="F789" t="s">
        <v>25</v>
      </c>
      <c r="G789">
        <v>365794.45</v>
      </c>
      <c r="H789">
        <v>307482.03000000003</v>
      </c>
      <c r="I789" t="s">
        <v>32</v>
      </c>
      <c r="J789" t="s">
        <v>41</v>
      </c>
      <c r="K789">
        <v>58312.419999999984</v>
      </c>
      <c r="L789">
        <v>0.15941308021485831</v>
      </c>
    </row>
    <row r="790" spans="1:12" x14ac:dyDescent="0.35">
      <c r="A790" t="s">
        <v>2722</v>
      </c>
      <c r="B790" s="1">
        <v>46036</v>
      </c>
      <c r="C790" t="s">
        <v>12</v>
      </c>
      <c r="D790" t="s">
        <v>23</v>
      </c>
      <c r="E790" t="s">
        <v>109</v>
      </c>
      <c r="F790" t="s">
        <v>38</v>
      </c>
      <c r="G790">
        <v>359649.62</v>
      </c>
      <c r="H790">
        <v>180384.19</v>
      </c>
      <c r="I790" t="s">
        <v>18</v>
      </c>
      <c r="J790" t="s">
        <v>41</v>
      </c>
      <c r="K790">
        <v>179265.43</v>
      </c>
      <c r="L790">
        <v>0.49844465288187983</v>
      </c>
    </row>
    <row r="791" spans="1:12" x14ac:dyDescent="0.35">
      <c r="A791" t="s">
        <v>2725</v>
      </c>
      <c r="B791" s="1">
        <v>46089</v>
      </c>
      <c r="C791" t="s">
        <v>99</v>
      </c>
      <c r="D791" t="s">
        <v>53</v>
      </c>
      <c r="E791" t="s">
        <v>24</v>
      </c>
      <c r="F791" t="s">
        <v>46</v>
      </c>
      <c r="G791">
        <v>318212.87</v>
      </c>
      <c r="H791">
        <v>232483.8</v>
      </c>
      <c r="I791" t="s">
        <v>49</v>
      </c>
      <c r="J791" t="s">
        <v>19</v>
      </c>
      <c r="K791">
        <v>85729.07</v>
      </c>
      <c r="L791">
        <v>0.26940792809542874</v>
      </c>
    </row>
    <row r="792" spans="1:12" x14ac:dyDescent="0.35">
      <c r="A792" t="s">
        <v>2729</v>
      </c>
      <c r="B792" s="1">
        <v>46102</v>
      </c>
      <c r="C792" t="s">
        <v>52</v>
      </c>
      <c r="D792" t="s">
        <v>36</v>
      </c>
      <c r="E792" t="s">
        <v>134</v>
      </c>
      <c r="F792" t="s">
        <v>74</v>
      </c>
      <c r="G792">
        <v>307601.98</v>
      </c>
      <c r="H792">
        <v>168729.98</v>
      </c>
      <c r="I792" t="s">
        <v>18</v>
      </c>
      <c r="J792" t="s">
        <v>41</v>
      </c>
      <c r="K792">
        <v>138871.99999999997</v>
      </c>
      <c r="L792">
        <v>0.45146653477328064</v>
      </c>
    </row>
    <row r="793" spans="1:12" x14ac:dyDescent="0.35">
      <c r="A793" t="s">
        <v>2732</v>
      </c>
      <c r="B793" s="1">
        <v>46104</v>
      </c>
      <c r="C793" t="s">
        <v>52</v>
      </c>
      <c r="D793" t="s">
        <v>53</v>
      </c>
      <c r="E793" t="s">
        <v>24</v>
      </c>
      <c r="F793" t="s">
        <v>38</v>
      </c>
      <c r="G793">
        <v>253332.01</v>
      </c>
      <c r="H793">
        <v>227899.23</v>
      </c>
      <c r="I793" t="s">
        <v>49</v>
      </c>
      <c r="J793" t="s">
        <v>41</v>
      </c>
      <c r="K793">
        <v>25432.78</v>
      </c>
      <c r="L793">
        <v>0.10039307705331039</v>
      </c>
    </row>
    <row r="794" spans="1:12" x14ac:dyDescent="0.35">
      <c r="A794" t="s">
        <v>2735</v>
      </c>
      <c r="B794" s="1">
        <v>46158</v>
      </c>
      <c r="C794" t="s">
        <v>99</v>
      </c>
      <c r="D794" t="s">
        <v>36</v>
      </c>
      <c r="E794" t="s">
        <v>24</v>
      </c>
      <c r="F794" t="s">
        <v>15</v>
      </c>
      <c r="G794">
        <v>62710.01</v>
      </c>
      <c r="H794">
        <v>39693.620000000003</v>
      </c>
      <c r="I794" t="s">
        <v>18</v>
      </c>
      <c r="J794" t="s">
        <v>19</v>
      </c>
      <c r="K794">
        <v>23016.39</v>
      </c>
      <c r="L794">
        <v>0.367028963956472</v>
      </c>
    </row>
    <row r="795" spans="1:12" x14ac:dyDescent="0.35">
      <c r="A795" t="s">
        <v>2739</v>
      </c>
      <c r="B795" s="1">
        <v>46027</v>
      </c>
      <c r="C795" t="s">
        <v>12</v>
      </c>
      <c r="D795" t="s">
        <v>23</v>
      </c>
      <c r="E795" t="s">
        <v>109</v>
      </c>
      <c r="F795" t="s">
        <v>46</v>
      </c>
      <c r="G795">
        <v>310359.53000000003</v>
      </c>
      <c r="H795">
        <v>264519.77</v>
      </c>
      <c r="I795" t="s">
        <v>32</v>
      </c>
      <c r="J795" t="s">
        <v>41</v>
      </c>
      <c r="K795">
        <v>45839.760000000009</v>
      </c>
      <c r="L795">
        <v>0.14769889618018175</v>
      </c>
    </row>
    <row r="796" spans="1:12" x14ac:dyDescent="0.35">
      <c r="A796" t="s">
        <v>2742</v>
      </c>
      <c r="B796" s="1">
        <v>46038</v>
      </c>
      <c r="C796" t="s">
        <v>12</v>
      </c>
      <c r="D796" t="s">
        <v>53</v>
      </c>
      <c r="E796" t="s">
        <v>109</v>
      </c>
      <c r="F796" t="s">
        <v>79</v>
      </c>
      <c r="G796">
        <v>261442.16</v>
      </c>
      <c r="H796">
        <v>172014.21</v>
      </c>
      <c r="I796" t="s">
        <v>18</v>
      </c>
      <c r="J796" t="s">
        <v>19</v>
      </c>
      <c r="K796">
        <v>89427.950000000012</v>
      </c>
      <c r="L796">
        <v>0.34205634622969766</v>
      </c>
    </row>
    <row r="797" spans="1:12" x14ac:dyDescent="0.35">
      <c r="A797" t="s">
        <v>2745</v>
      </c>
      <c r="B797" s="1">
        <v>46057</v>
      </c>
      <c r="C797" t="s">
        <v>67</v>
      </c>
      <c r="D797" t="s">
        <v>53</v>
      </c>
      <c r="E797" t="s">
        <v>24</v>
      </c>
      <c r="F797" t="s">
        <v>74</v>
      </c>
      <c r="G797">
        <v>306735.53000000003</v>
      </c>
      <c r="H797">
        <v>251000.57</v>
      </c>
      <c r="I797" t="s">
        <v>49</v>
      </c>
      <c r="J797" t="s">
        <v>41</v>
      </c>
      <c r="K797">
        <v>55734.960000000021</v>
      </c>
      <c r="L797">
        <v>0.18170363244192811</v>
      </c>
    </row>
    <row r="798" spans="1:12" x14ac:dyDescent="0.35">
      <c r="A798" t="s">
        <v>2748</v>
      </c>
      <c r="B798" s="1">
        <v>46120</v>
      </c>
      <c r="C798" t="s">
        <v>52</v>
      </c>
      <c r="D798" t="s">
        <v>53</v>
      </c>
      <c r="E798" t="s">
        <v>109</v>
      </c>
      <c r="F798" t="s">
        <v>25</v>
      </c>
      <c r="G798">
        <v>407354.98</v>
      </c>
      <c r="H798">
        <v>316633.21999999997</v>
      </c>
      <c r="I798" t="s">
        <v>32</v>
      </c>
      <c r="J798" t="s">
        <v>19</v>
      </c>
      <c r="K798">
        <v>90721.760000000009</v>
      </c>
      <c r="L798">
        <v>0.22270934308941065</v>
      </c>
    </row>
    <row r="799" spans="1:12" x14ac:dyDescent="0.35">
      <c r="A799" t="s">
        <v>2751</v>
      </c>
      <c r="B799" s="1">
        <v>46106</v>
      </c>
      <c r="C799" t="s">
        <v>52</v>
      </c>
      <c r="D799" t="s">
        <v>23</v>
      </c>
      <c r="E799" t="s">
        <v>109</v>
      </c>
      <c r="F799" t="s">
        <v>25</v>
      </c>
      <c r="G799">
        <v>373265.62</v>
      </c>
      <c r="H799">
        <v>212606.07</v>
      </c>
      <c r="I799" t="s">
        <v>49</v>
      </c>
      <c r="J799" t="s">
        <v>19</v>
      </c>
      <c r="K799">
        <v>160659.54999999999</v>
      </c>
      <c r="L799">
        <v>0.43041614708582054</v>
      </c>
    </row>
    <row r="800" spans="1:12" x14ac:dyDescent="0.35">
      <c r="A800" t="s">
        <v>2754</v>
      </c>
      <c r="B800" s="1">
        <v>46032</v>
      </c>
      <c r="C800" t="s">
        <v>52</v>
      </c>
      <c r="D800" t="s">
        <v>36</v>
      </c>
      <c r="E800" t="s">
        <v>37</v>
      </c>
      <c r="F800" t="s">
        <v>15</v>
      </c>
      <c r="G800">
        <v>127792.61</v>
      </c>
      <c r="H800">
        <v>71991.88</v>
      </c>
      <c r="I800" t="s">
        <v>32</v>
      </c>
      <c r="J800" t="s">
        <v>41</v>
      </c>
      <c r="K800">
        <v>55800.729999999996</v>
      </c>
      <c r="L800">
        <v>0.43665067956589976</v>
      </c>
    </row>
    <row r="801" spans="1:12" x14ac:dyDescent="0.35">
      <c r="A801" t="s">
        <v>2757</v>
      </c>
      <c r="B801" s="1">
        <v>46078</v>
      </c>
      <c r="C801" t="s">
        <v>52</v>
      </c>
      <c r="D801" t="s">
        <v>23</v>
      </c>
      <c r="E801" t="s">
        <v>134</v>
      </c>
      <c r="F801" t="s">
        <v>46</v>
      </c>
      <c r="G801">
        <v>158085.35999999999</v>
      </c>
      <c r="H801">
        <v>112745.82</v>
      </c>
      <c r="I801" t="s">
        <v>18</v>
      </c>
      <c r="J801" t="s">
        <v>19</v>
      </c>
      <c r="K801">
        <v>45339.539999999979</v>
      </c>
      <c r="L801">
        <v>0.28680416706518541</v>
      </c>
    </row>
    <row r="802" spans="1:12" x14ac:dyDescent="0.35">
      <c r="A802" t="s">
        <v>2760</v>
      </c>
      <c r="B802" s="1">
        <v>46137</v>
      </c>
      <c r="C802" t="s">
        <v>12</v>
      </c>
      <c r="D802" t="s">
        <v>23</v>
      </c>
      <c r="E802" t="s">
        <v>45</v>
      </c>
      <c r="F802" t="s">
        <v>25</v>
      </c>
      <c r="G802">
        <v>205244.96</v>
      </c>
      <c r="H802">
        <v>86890.880000000005</v>
      </c>
      <c r="I802" t="s">
        <v>18</v>
      </c>
      <c r="J802" t="s">
        <v>19</v>
      </c>
      <c r="K802">
        <v>118354.07999999999</v>
      </c>
      <c r="L802">
        <v>0.57664792353488237</v>
      </c>
    </row>
    <row r="803" spans="1:12" x14ac:dyDescent="0.35">
      <c r="A803" t="s">
        <v>2764</v>
      </c>
      <c r="B803" s="1">
        <v>46117</v>
      </c>
      <c r="C803" t="s">
        <v>12</v>
      </c>
      <c r="D803" t="s">
        <v>53</v>
      </c>
      <c r="E803" t="s">
        <v>45</v>
      </c>
      <c r="F803" t="s">
        <v>46</v>
      </c>
      <c r="G803">
        <v>275552.03999999998</v>
      </c>
      <c r="H803">
        <v>260773.38</v>
      </c>
      <c r="I803" t="s">
        <v>18</v>
      </c>
      <c r="J803" t="s">
        <v>41</v>
      </c>
      <c r="K803">
        <v>14778.659999999974</v>
      </c>
      <c r="L803">
        <v>5.363291812319726E-2</v>
      </c>
    </row>
    <row r="804" spans="1:12" x14ac:dyDescent="0.35">
      <c r="A804" t="s">
        <v>2767</v>
      </c>
      <c r="B804" s="1">
        <v>46098</v>
      </c>
      <c r="C804" t="s">
        <v>52</v>
      </c>
      <c r="D804" t="s">
        <v>36</v>
      </c>
      <c r="E804" t="s">
        <v>134</v>
      </c>
      <c r="F804" t="s">
        <v>15</v>
      </c>
      <c r="G804">
        <v>182292.97</v>
      </c>
      <c r="H804">
        <v>133910.21</v>
      </c>
      <c r="I804" t="s">
        <v>18</v>
      </c>
      <c r="J804" t="s">
        <v>41</v>
      </c>
      <c r="K804">
        <v>48382.760000000009</v>
      </c>
      <c r="L804">
        <v>0.26541210009360211</v>
      </c>
    </row>
    <row r="805" spans="1:12" x14ac:dyDescent="0.35">
      <c r="A805" t="s">
        <v>2770</v>
      </c>
      <c r="B805" s="1">
        <v>46032</v>
      </c>
      <c r="C805" t="s">
        <v>12</v>
      </c>
      <c r="D805" t="s">
        <v>53</v>
      </c>
      <c r="E805" t="s">
        <v>24</v>
      </c>
      <c r="F805" t="s">
        <v>79</v>
      </c>
      <c r="G805">
        <v>194508.71</v>
      </c>
      <c r="H805">
        <v>96345.16</v>
      </c>
      <c r="I805" t="s">
        <v>49</v>
      </c>
      <c r="J805" t="s">
        <v>19</v>
      </c>
      <c r="K805">
        <v>98163.549999999988</v>
      </c>
      <c r="L805">
        <v>0.50467431509879424</v>
      </c>
    </row>
    <row r="806" spans="1:12" x14ac:dyDescent="0.35">
      <c r="A806" t="s">
        <v>2773</v>
      </c>
      <c r="B806" s="1">
        <v>46105</v>
      </c>
      <c r="C806" t="s">
        <v>12</v>
      </c>
      <c r="D806" t="s">
        <v>53</v>
      </c>
      <c r="E806" t="s">
        <v>14</v>
      </c>
      <c r="F806" t="s">
        <v>74</v>
      </c>
      <c r="G806">
        <v>184165.71</v>
      </c>
      <c r="H806">
        <v>100497.69</v>
      </c>
      <c r="I806" t="s">
        <v>49</v>
      </c>
      <c r="J806" t="s">
        <v>19</v>
      </c>
      <c r="K806">
        <v>83668.01999999999</v>
      </c>
      <c r="L806">
        <v>0.45430835088681815</v>
      </c>
    </row>
    <row r="807" spans="1:12" x14ac:dyDescent="0.35">
      <c r="A807" t="s">
        <v>2776</v>
      </c>
      <c r="B807" s="1">
        <v>46156</v>
      </c>
      <c r="C807" t="s">
        <v>12</v>
      </c>
      <c r="D807" t="s">
        <v>53</v>
      </c>
      <c r="E807" t="s">
        <v>134</v>
      </c>
      <c r="F807" t="s">
        <v>15</v>
      </c>
      <c r="G807">
        <v>362890.13</v>
      </c>
      <c r="H807">
        <v>162867.13</v>
      </c>
      <c r="I807" t="s">
        <v>18</v>
      </c>
      <c r="J807" t="s">
        <v>41</v>
      </c>
      <c r="K807">
        <v>200023</v>
      </c>
      <c r="L807">
        <v>0.55119437941175198</v>
      </c>
    </row>
    <row r="808" spans="1:12" x14ac:dyDescent="0.35">
      <c r="A808" t="s">
        <v>2779</v>
      </c>
      <c r="B808" s="1">
        <v>46200</v>
      </c>
      <c r="C808" t="s">
        <v>12</v>
      </c>
      <c r="D808" t="s">
        <v>23</v>
      </c>
      <c r="E808" t="s">
        <v>109</v>
      </c>
      <c r="F808" t="s">
        <v>74</v>
      </c>
      <c r="G808">
        <v>183226.56</v>
      </c>
      <c r="H808">
        <v>168862.39</v>
      </c>
      <c r="I808" t="s">
        <v>32</v>
      </c>
      <c r="J808" t="s">
        <v>41</v>
      </c>
      <c r="K808">
        <v>14364.169999999984</v>
      </c>
      <c r="L808">
        <v>7.8395675823417652E-2</v>
      </c>
    </row>
    <row r="809" spans="1:12" x14ac:dyDescent="0.35">
      <c r="A809" t="s">
        <v>2782</v>
      </c>
      <c r="B809" s="1">
        <v>46101</v>
      </c>
      <c r="C809" t="s">
        <v>12</v>
      </c>
      <c r="D809" t="s">
        <v>36</v>
      </c>
      <c r="E809" t="s">
        <v>45</v>
      </c>
      <c r="F809" t="s">
        <v>15</v>
      </c>
      <c r="G809">
        <v>418795.63</v>
      </c>
      <c r="H809">
        <v>260199.34</v>
      </c>
      <c r="I809" t="s">
        <v>49</v>
      </c>
      <c r="J809" t="s">
        <v>19</v>
      </c>
      <c r="K809">
        <v>158596.29</v>
      </c>
      <c r="L809">
        <v>0.37869614351038</v>
      </c>
    </row>
    <row r="810" spans="1:12" x14ac:dyDescent="0.35">
      <c r="A810" t="s">
        <v>2785</v>
      </c>
      <c r="B810" s="1">
        <v>46117</v>
      </c>
      <c r="C810" t="s">
        <v>3383</v>
      </c>
      <c r="D810" t="s">
        <v>53</v>
      </c>
      <c r="E810" t="s">
        <v>14</v>
      </c>
      <c r="F810" t="s">
        <v>79</v>
      </c>
      <c r="G810">
        <v>137128.26</v>
      </c>
      <c r="H810">
        <v>119675.84</v>
      </c>
      <c r="I810" t="s">
        <v>18</v>
      </c>
      <c r="J810" t="s">
        <v>19</v>
      </c>
      <c r="K810">
        <v>17452.420000000013</v>
      </c>
      <c r="L810">
        <v>0.12727077554983934</v>
      </c>
    </row>
    <row r="811" spans="1:12" x14ac:dyDescent="0.35">
      <c r="A811" t="s">
        <v>2788</v>
      </c>
      <c r="B811" s="1">
        <v>46186</v>
      </c>
      <c r="C811" t="s">
        <v>3383</v>
      </c>
      <c r="D811" t="s">
        <v>36</v>
      </c>
      <c r="E811" t="s">
        <v>109</v>
      </c>
      <c r="F811" t="s">
        <v>25</v>
      </c>
      <c r="G811">
        <v>381458.98</v>
      </c>
      <c r="H811">
        <v>215739.9</v>
      </c>
      <c r="I811" t="s">
        <v>49</v>
      </c>
      <c r="J811" t="s">
        <v>19</v>
      </c>
      <c r="K811">
        <v>165719.07999999999</v>
      </c>
      <c r="L811">
        <v>0.43443486374340956</v>
      </c>
    </row>
    <row r="812" spans="1:12" x14ac:dyDescent="0.35">
      <c r="A812" t="s">
        <v>2791</v>
      </c>
      <c r="B812" s="1">
        <v>46083</v>
      </c>
      <c r="C812" t="s">
        <v>12</v>
      </c>
      <c r="D812" t="s">
        <v>53</v>
      </c>
      <c r="E812" t="s">
        <v>134</v>
      </c>
      <c r="F812" t="s">
        <v>25</v>
      </c>
      <c r="G812">
        <v>385711.18</v>
      </c>
      <c r="H812">
        <v>311740.7</v>
      </c>
      <c r="I812" t="s">
        <v>32</v>
      </c>
      <c r="J812" t="s">
        <v>41</v>
      </c>
      <c r="K812">
        <v>73970.479999999981</v>
      </c>
      <c r="L812">
        <v>0.19177686267740537</v>
      </c>
    </row>
    <row r="813" spans="1:12" x14ac:dyDescent="0.35">
      <c r="A813" t="s">
        <v>2794</v>
      </c>
      <c r="B813" s="1">
        <v>46202</v>
      </c>
      <c r="C813" t="s">
        <v>99</v>
      </c>
      <c r="D813" t="s">
        <v>36</v>
      </c>
      <c r="E813" t="s">
        <v>45</v>
      </c>
      <c r="F813" t="s">
        <v>38</v>
      </c>
      <c r="G813">
        <v>417097.24</v>
      </c>
      <c r="H813">
        <v>325474.21999999997</v>
      </c>
      <c r="I813" t="s">
        <v>49</v>
      </c>
      <c r="J813" t="s">
        <v>41</v>
      </c>
      <c r="K813">
        <v>91623.020000000019</v>
      </c>
      <c r="L813">
        <v>0.21966824810444688</v>
      </c>
    </row>
    <row r="814" spans="1:12" x14ac:dyDescent="0.35">
      <c r="A814" t="s">
        <v>2797</v>
      </c>
      <c r="B814" s="1">
        <v>46202</v>
      </c>
      <c r="C814" t="s">
        <v>52</v>
      </c>
      <c r="D814" t="s">
        <v>36</v>
      </c>
      <c r="E814" t="s">
        <v>134</v>
      </c>
      <c r="F814" t="s">
        <v>25</v>
      </c>
      <c r="G814">
        <v>474634.89</v>
      </c>
      <c r="H814">
        <v>428950.36</v>
      </c>
      <c r="I814" t="s">
        <v>32</v>
      </c>
      <c r="J814" t="s">
        <v>41</v>
      </c>
      <c r="K814">
        <v>45684.530000000028</v>
      </c>
      <c r="L814">
        <v>9.6251942203406132E-2</v>
      </c>
    </row>
    <row r="815" spans="1:12" x14ac:dyDescent="0.35">
      <c r="A815" t="s">
        <v>2800</v>
      </c>
      <c r="B815" s="1">
        <v>46052</v>
      </c>
      <c r="C815" t="s">
        <v>52</v>
      </c>
      <c r="D815" t="s">
        <v>23</v>
      </c>
      <c r="E815" t="s">
        <v>134</v>
      </c>
      <c r="F815" t="s">
        <v>74</v>
      </c>
      <c r="G815">
        <v>461716.14</v>
      </c>
      <c r="H815">
        <v>334024.58</v>
      </c>
      <c r="I815" t="s">
        <v>18</v>
      </c>
      <c r="J815" t="s">
        <v>19</v>
      </c>
      <c r="K815">
        <v>127691.56</v>
      </c>
      <c r="L815">
        <v>0.27655857991015864</v>
      </c>
    </row>
    <row r="816" spans="1:12" x14ac:dyDescent="0.35">
      <c r="A816" t="s">
        <v>2803</v>
      </c>
      <c r="B816" s="1">
        <v>46059</v>
      </c>
      <c r="C816" t="s">
        <v>67</v>
      </c>
      <c r="D816" t="s">
        <v>53</v>
      </c>
      <c r="E816" t="s">
        <v>37</v>
      </c>
      <c r="F816" t="s">
        <v>79</v>
      </c>
      <c r="G816">
        <v>296361.81</v>
      </c>
      <c r="H816">
        <v>167023.46</v>
      </c>
      <c r="I816" t="s">
        <v>49</v>
      </c>
      <c r="J816" t="s">
        <v>41</v>
      </c>
      <c r="K816">
        <v>129338.35</v>
      </c>
      <c r="L816">
        <v>0.43642043487317078</v>
      </c>
    </row>
    <row r="817" spans="1:12" x14ac:dyDescent="0.35">
      <c r="A817" t="s">
        <v>2807</v>
      </c>
      <c r="B817" s="1">
        <v>46051</v>
      </c>
      <c r="C817" t="s">
        <v>52</v>
      </c>
      <c r="D817" t="s">
        <v>23</v>
      </c>
      <c r="E817" t="s">
        <v>14</v>
      </c>
      <c r="F817" t="s">
        <v>38</v>
      </c>
      <c r="G817">
        <v>81635.759999999995</v>
      </c>
      <c r="H817">
        <v>38342.93</v>
      </c>
      <c r="I817" t="s">
        <v>32</v>
      </c>
      <c r="J817" t="s">
        <v>19</v>
      </c>
      <c r="K817">
        <v>43292.829999999994</v>
      </c>
      <c r="L817">
        <v>0.53031698363560276</v>
      </c>
    </row>
    <row r="818" spans="1:12" x14ac:dyDescent="0.35">
      <c r="A818" t="s">
        <v>2810</v>
      </c>
      <c r="B818" s="1">
        <v>46117</v>
      </c>
      <c r="C818" t="s">
        <v>12</v>
      </c>
      <c r="D818" t="s">
        <v>36</v>
      </c>
      <c r="E818" t="s">
        <v>134</v>
      </c>
      <c r="F818" t="s">
        <v>46</v>
      </c>
      <c r="G818">
        <v>458147.42</v>
      </c>
      <c r="H818">
        <v>396750.93</v>
      </c>
      <c r="I818" t="s">
        <v>18</v>
      </c>
      <c r="J818" t="s">
        <v>19</v>
      </c>
      <c r="K818">
        <v>61396.489999999991</v>
      </c>
      <c r="L818">
        <v>0.1340103366728552</v>
      </c>
    </row>
    <row r="819" spans="1:12" x14ac:dyDescent="0.35">
      <c r="A819" t="s">
        <v>2813</v>
      </c>
      <c r="B819" s="1">
        <v>46142</v>
      </c>
      <c r="C819" t="s">
        <v>12</v>
      </c>
      <c r="D819" t="s">
        <v>36</v>
      </c>
      <c r="E819" t="s">
        <v>134</v>
      </c>
      <c r="F819" t="s">
        <v>25</v>
      </c>
      <c r="G819">
        <v>52309.56</v>
      </c>
      <c r="H819">
        <v>25786.67</v>
      </c>
      <c r="I819" t="s">
        <v>18</v>
      </c>
      <c r="J819" t="s">
        <v>19</v>
      </c>
      <c r="K819">
        <v>26522.89</v>
      </c>
      <c r="L819">
        <v>0.50703714579132386</v>
      </c>
    </row>
    <row r="820" spans="1:12" x14ac:dyDescent="0.35">
      <c r="A820" t="s">
        <v>2817</v>
      </c>
      <c r="B820" s="1">
        <v>46104</v>
      </c>
      <c r="C820" t="s">
        <v>67</v>
      </c>
      <c r="D820" t="s">
        <v>53</v>
      </c>
      <c r="E820" t="s">
        <v>14</v>
      </c>
      <c r="F820" t="s">
        <v>46</v>
      </c>
      <c r="G820">
        <v>372912.35</v>
      </c>
      <c r="H820">
        <v>271042.34000000003</v>
      </c>
      <c r="I820" t="s">
        <v>32</v>
      </c>
      <c r="J820" t="s">
        <v>41</v>
      </c>
      <c r="K820">
        <v>101870.00999999995</v>
      </c>
      <c r="L820">
        <v>0.27317413864142592</v>
      </c>
    </row>
    <row r="821" spans="1:12" x14ac:dyDescent="0.35">
      <c r="A821" t="s">
        <v>2820</v>
      </c>
      <c r="B821" s="1">
        <v>46085</v>
      </c>
      <c r="C821" t="s">
        <v>3383</v>
      </c>
      <c r="D821" t="s">
        <v>23</v>
      </c>
      <c r="E821" t="s">
        <v>14</v>
      </c>
      <c r="F821" t="s">
        <v>25</v>
      </c>
      <c r="G821">
        <v>494339.61</v>
      </c>
      <c r="H821">
        <v>198273.46</v>
      </c>
      <c r="I821" t="s">
        <v>49</v>
      </c>
      <c r="J821" t="s">
        <v>19</v>
      </c>
      <c r="K821">
        <v>296066.15000000002</v>
      </c>
      <c r="L821">
        <v>0.5989124561553949</v>
      </c>
    </row>
    <row r="822" spans="1:12" x14ac:dyDescent="0.35">
      <c r="A822" t="s">
        <v>2823</v>
      </c>
      <c r="B822" s="1">
        <v>46121</v>
      </c>
      <c r="C822" t="s">
        <v>12</v>
      </c>
      <c r="D822" t="s">
        <v>53</v>
      </c>
      <c r="E822" t="s">
        <v>45</v>
      </c>
      <c r="F822" t="s">
        <v>74</v>
      </c>
      <c r="G822">
        <v>135453.73000000001</v>
      </c>
      <c r="H822">
        <v>110121.87</v>
      </c>
      <c r="I822" t="s">
        <v>32</v>
      </c>
      <c r="J822" t="s">
        <v>19</v>
      </c>
      <c r="K822">
        <v>25331.860000000015</v>
      </c>
      <c r="L822">
        <v>0.18701485739816845</v>
      </c>
    </row>
    <row r="823" spans="1:12" x14ac:dyDescent="0.35">
      <c r="A823" t="s">
        <v>2826</v>
      </c>
      <c r="B823" s="1">
        <v>46077</v>
      </c>
      <c r="C823" t="s">
        <v>3383</v>
      </c>
      <c r="D823" t="s">
        <v>53</v>
      </c>
      <c r="E823" t="s">
        <v>134</v>
      </c>
      <c r="F823" t="s">
        <v>46</v>
      </c>
      <c r="G823">
        <v>476773.06</v>
      </c>
      <c r="H823">
        <v>200071.69</v>
      </c>
      <c r="I823" t="s">
        <v>18</v>
      </c>
      <c r="J823" t="s">
        <v>19</v>
      </c>
      <c r="K823">
        <v>276701.37</v>
      </c>
      <c r="L823">
        <v>0.58036284600476373</v>
      </c>
    </row>
    <row r="824" spans="1:12" x14ac:dyDescent="0.35">
      <c r="A824" t="s">
        <v>2829</v>
      </c>
      <c r="B824" s="1">
        <v>46079</v>
      </c>
      <c r="C824" t="s">
        <v>12</v>
      </c>
      <c r="D824" t="s">
        <v>36</v>
      </c>
      <c r="E824" t="s">
        <v>109</v>
      </c>
      <c r="F824" t="s">
        <v>46</v>
      </c>
      <c r="G824">
        <v>429014.35</v>
      </c>
      <c r="H824">
        <v>317788.13</v>
      </c>
      <c r="I824" t="s">
        <v>32</v>
      </c>
      <c r="J824" t="s">
        <v>19</v>
      </c>
      <c r="K824">
        <v>111226.21999999997</v>
      </c>
      <c r="L824">
        <v>0.2592599058749433</v>
      </c>
    </row>
    <row r="825" spans="1:12" x14ac:dyDescent="0.35">
      <c r="A825" t="s">
        <v>2832</v>
      </c>
      <c r="B825" s="1">
        <v>46126</v>
      </c>
      <c r="C825" t="s">
        <v>12</v>
      </c>
      <c r="D825" t="s">
        <v>36</v>
      </c>
      <c r="E825" t="s">
        <v>37</v>
      </c>
      <c r="F825" t="s">
        <v>38</v>
      </c>
      <c r="G825">
        <v>220370.08</v>
      </c>
      <c r="H825">
        <v>168268.55</v>
      </c>
      <c r="I825" t="s">
        <v>18</v>
      </c>
      <c r="J825" t="s">
        <v>41</v>
      </c>
      <c r="K825">
        <v>52101.53</v>
      </c>
      <c r="L825">
        <v>0.23642742245226758</v>
      </c>
    </row>
    <row r="826" spans="1:12" x14ac:dyDescent="0.35">
      <c r="A826" t="s">
        <v>2835</v>
      </c>
      <c r="B826" s="1">
        <v>46128</v>
      </c>
      <c r="C826" t="s">
        <v>99</v>
      </c>
      <c r="D826" t="s">
        <v>53</v>
      </c>
      <c r="E826" t="s">
        <v>45</v>
      </c>
      <c r="F826" t="s">
        <v>15</v>
      </c>
      <c r="G826">
        <v>242399.67</v>
      </c>
      <c r="H826">
        <v>162746.49</v>
      </c>
      <c r="I826" t="s">
        <v>18</v>
      </c>
      <c r="J826" t="s">
        <v>19</v>
      </c>
      <c r="K826">
        <v>79653.180000000022</v>
      </c>
      <c r="L826">
        <v>0.32860267507789931</v>
      </c>
    </row>
    <row r="827" spans="1:12" x14ac:dyDescent="0.35">
      <c r="A827" t="s">
        <v>2838</v>
      </c>
      <c r="B827" s="1">
        <v>46061</v>
      </c>
      <c r="C827" t="s">
        <v>3383</v>
      </c>
      <c r="D827" t="s">
        <v>23</v>
      </c>
      <c r="E827" t="s">
        <v>109</v>
      </c>
      <c r="F827" t="s">
        <v>79</v>
      </c>
      <c r="G827">
        <v>410444.04</v>
      </c>
      <c r="H827">
        <v>260434.54</v>
      </c>
      <c r="I827" t="s">
        <v>32</v>
      </c>
      <c r="J827" t="s">
        <v>19</v>
      </c>
      <c r="K827">
        <v>150009.49999999997</v>
      </c>
      <c r="L827">
        <v>0.36548100442632808</v>
      </c>
    </row>
    <row r="828" spans="1:12" x14ac:dyDescent="0.35">
      <c r="A828" t="s">
        <v>2841</v>
      </c>
      <c r="B828" s="1">
        <v>46176</v>
      </c>
      <c r="C828" t="s">
        <v>67</v>
      </c>
      <c r="D828" t="s">
        <v>36</v>
      </c>
      <c r="E828" t="s">
        <v>134</v>
      </c>
      <c r="F828" t="s">
        <v>79</v>
      </c>
      <c r="G828">
        <v>361666.51</v>
      </c>
      <c r="H828">
        <v>187450.22</v>
      </c>
      <c r="I828" t="s">
        <v>18</v>
      </c>
      <c r="J828" t="s">
        <v>19</v>
      </c>
      <c r="K828">
        <v>174216.29</v>
      </c>
      <c r="L828">
        <v>0.4817042363142775</v>
      </c>
    </row>
    <row r="829" spans="1:12" x14ac:dyDescent="0.35">
      <c r="A829" t="s">
        <v>2844</v>
      </c>
      <c r="B829" s="1">
        <v>46113</v>
      </c>
      <c r="C829" t="s">
        <v>3383</v>
      </c>
      <c r="D829" t="s">
        <v>23</v>
      </c>
      <c r="E829" t="s">
        <v>24</v>
      </c>
      <c r="F829" t="s">
        <v>74</v>
      </c>
      <c r="G829">
        <v>102974</v>
      </c>
      <c r="H829">
        <v>59976.5</v>
      </c>
      <c r="I829" t="s">
        <v>49</v>
      </c>
      <c r="J829" t="s">
        <v>19</v>
      </c>
      <c r="K829">
        <v>42997.5</v>
      </c>
      <c r="L829">
        <v>0.41755685901295475</v>
      </c>
    </row>
    <row r="830" spans="1:12" x14ac:dyDescent="0.35">
      <c r="A830" t="s">
        <v>2847</v>
      </c>
      <c r="B830" s="1">
        <v>46186</v>
      </c>
      <c r="C830" t="s">
        <v>12</v>
      </c>
      <c r="D830" t="s">
        <v>23</v>
      </c>
      <c r="E830" t="s">
        <v>109</v>
      </c>
      <c r="F830" t="s">
        <v>46</v>
      </c>
      <c r="G830">
        <v>203258.81</v>
      </c>
      <c r="H830">
        <v>159907.94</v>
      </c>
      <c r="I830" t="s">
        <v>32</v>
      </c>
      <c r="J830" t="s">
        <v>41</v>
      </c>
      <c r="K830">
        <v>43350.869999999995</v>
      </c>
      <c r="L830">
        <v>0.2132791685634684</v>
      </c>
    </row>
    <row r="831" spans="1:12" x14ac:dyDescent="0.35">
      <c r="A831" t="s">
        <v>2850</v>
      </c>
      <c r="B831" s="1">
        <v>46084</v>
      </c>
      <c r="C831" t="s">
        <v>3383</v>
      </c>
      <c r="D831" t="s">
        <v>23</v>
      </c>
      <c r="E831" t="s">
        <v>24</v>
      </c>
      <c r="F831" t="s">
        <v>38</v>
      </c>
      <c r="G831">
        <v>52634.879999999997</v>
      </c>
      <c r="H831">
        <v>45276.49</v>
      </c>
      <c r="I831" t="s">
        <v>18</v>
      </c>
      <c r="J831" t="s">
        <v>41</v>
      </c>
      <c r="K831">
        <v>7358.3899999999994</v>
      </c>
      <c r="L831">
        <v>0.13980064170375234</v>
      </c>
    </row>
    <row r="832" spans="1:12" x14ac:dyDescent="0.35">
      <c r="A832" t="s">
        <v>2853</v>
      </c>
      <c r="B832" s="1">
        <v>46078</v>
      </c>
      <c r="C832" t="s">
        <v>99</v>
      </c>
      <c r="D832" t="s">
        <v>36</v>
      </c>
      <c r="E832" t="s">
        <v>109</v>
      </c>
      <c r="F832" t="s">
        <v>25</v>
      </c>
      <c r="G832">
        <v>253933.05</v>
      </c>
      <c r="H832">
        <v>101905.65</v>
      </c>
      <c r="I832" t="s">
        <v>18</v>
      </c>
      <c r="J832" t="s">
        <v>19</v>
      </c>
      <c r="K832">
        <v>152027.4</v>
      </c>
      <c r="L832">
        <v>0.59869087540987675</v>
      </c>
    </row>
    <row r="833" spans="1:12" x14ac:dyDescent="0.35">
      <c r="A833" t="s">
        <v>2857</v>
      </c>
      <c r="B833" s="1">
        <v>46028</v>
      </c>
      <c r="C833" t="s">
        <v>12</v>
      </c>
      <c r="D833" t="s">
        <v>23</v>
      </c>
      <c r="E833" t="s">
        <v>14</v>
      </c>
      <c r="F833" t="s">
        <v>74</v>
      </c>
      <c r="G833">
        <v>343867.05</v>
      </c>
      <c r="H833">
        <v>141526.51</v>
      </c>
      <c r="I833" t="s">
        <v>32</v>
      </c>
      <c r="J833" t="s">
        <v>19</v>
      </c>
      <c r="K833">
        <v>202340.53999999998</v>
      </c>
      <c r="L833">
        <v>0.58842666082720052</v>
      </c>
    </row>
    <row r="834" spans="1:12" x14ac:dyDescent="0.35">
      <c r="A834" t="s">
        <v>2860</v>
      </c>
      <c r="B834" s="1">
        <v>46037</v>
      </c>
      <c r="C834" t="s">
        <v>99</v>
      </c>
      <c r="D834" t="s">
        <v>23</v>
      </c>
      <c r="E834" t="s">
        <v>14</v>
      </c>
      <c r="F834" t="s">
        <v>15</v>
      </c>
      <c r="G834">
        <v>449347.03</v>
      </c>
      <c r="H834">
        <v>399044.95</v>
      </c>
      <c r="I834" t="s">
        <v>32</v>
      </c>
      <c r="J834" t="s">
        <v>41</v>
      </c>
      <c r="K834">
        <v>50302.080000000016</v>
      </c>
      <c r="L834">
        <v>0.11194483693371694</v>
      </c>
    </row>
    <row r="835" spans="1:12" x14ac:dyDescent="0.35">
      <c r="A835" t="s">
        <v>2863</v>
      </c>
      <c r="B835" s="1">
        <v>46074</v>
      </c>
      <c r="C835" t="s">
        <v>99</v>
      </c>
      <c r="D835" t="s">
        <v>36</v>
      </c>
      <c r="E835" t="s">
        <v>14</v>
      </c>
      <c r="F835" t="s">
        <v>46</v>
      </c>
      <c r="G835">
        <v>318987.28000000003</v>
      </c>
      <c r="H835">
        <v>291411.14</v>
      </c>
      <c r="I835" t="s">
        <v>49</v>
      </c>
      <c r="J835" t="s">
        <v>41</v>
      </c>
      <c r="K835">
        <v>27576.140000000014</v>
      </c>
      <c r="L835">
        <v>8.644902705838306E-2</v>
      </c>
    </row>
    <row r="836" spans="1:12" x14ac:dyDescent="0.35">
      <c r="A836" t="s">
        <v>2866</v>
      </c>
      <c r="B836" s="1">
        <v>46137</v>
      </c>
      <c r="C836" t="s">
        <v>99</v>
      </c>
      <c r="D836" t="s">
        <v>53</v>
      </c>
      <c r="E836" t="s">
        <v>14</v>
      </c>
      <c r="F836" t="s">
        <v>46</v>
      </c>
      <c r="G836">
        <v>308377.65000000002</v>
      </c>
      <c r="H836">
        <v>289128.34000000003</v>
      </c>
      <c r="I836" t="s">
        <v>49</v>
      </c>
      <c r="J836" t="s">
        <v>41</v>
      </c>
      <c r="K836">
        <v>19249.309999999998</v>
      </c>
      <c r="L836">
        <v>6.2421222809110832E-2</v>
      </c>
    </row>
    <row r="837" spans="1:12" x14ac:dyDescent="0.35">
      <c r="A837" t="s">
        <v>2869</v>
      </c>
      <c r="B837" s="1">
        <v>46100</v>
      </c>
      <c r="C837" t="s">
        <v>52</v>
      </c>
      <c r="D837" t="s">
        <v>23</v>
      </c>
      <c r="E837" t="s">
        <v>14</v>
      </c>
      <c r="F837" t="s">
        <v>25</v>
      </c>
      <c r="G837">
        <v>224801.11</v>
      </c>
      <c r="H837">
        <v>204507.74</v>
      </c>
      <c r="I837" t="s">
        <v>18</v>
      </c>
      <c r="J837" t="s">
        <v>41</v>
      </c>
      <c r="K837">
        <v>20293.369999999995</v>
      </c>
      <c r="L837">
        <v>9.0272552479834275E-2</v>
      </c>
    </row>
    <row r="838" spans="1:12" x14ac:dyDescent="0.35">
      <c r="A838" t="s">
        <v>2872</v>
      </c>
      <c r="B838" s="1">
        <v>46176</v>
      </c>
      <c r="C838" t="s">
        <v>12</v>
      </c>
      <c r="D838" t="s">
        <v>36</v>
      </c>
      <c r="E838" t="s">
        <v>134</v>
      </c>
      <c r="F838" t="s">
        <v>15</v>
      </c>
      <c r="G838">
        <v>375440.73</v>
      </c>
      <c r="H838">
        <v>343754.02</v>
      </c>
      <c r="I838" t="s">
        <v>49</v>
      </c>
      <c r="J838" t="s">
        <v>41</v>
      </c>
      <c r="K838">
        <v>31686.709999999963</v>
      </c>
      <c r="L838">
        <v>8.439870122775428E-2</v>
      </c>
    </row>
    <row r="839" spans="1:12" x14ac:dyDescent="0.35">
      <c r="A839" t="s">
        <v>2875</v>
      </c>
      <c r="B839" s="1">
        <v>46071</v>
      </c>
      <c r="C839" t="s">
        <v>12</v>
      </c>
      <c r="D839" t="s">
        <v>53</v>
      </c>
      <c r="E839" t="s">
        <v>45</v>
      </c>
      <c r="F839" t="s">
        <v>25</v>
      </c>
      <c r="G839">
        <v>330008.24</v>
      </c>
      <c r="H839">
        <v>284560.25</v>
      </c>
      <c r="I839" t="s">
        <v>49</v>
      </c>
      <c r="J839" t="s">
        <v>19</v>
      </c>
      <c r="K839">
        <v>45447.989999999991</v>
      </c>
      <c r="L839">
        <v>0.13771774304787054</v>
      </c>
    </row>
    <row r="840" spans="1:12" x14ac:dyDescent="0.35">
      <c r="A840" t="s">
        <v>2878</v>
      </c>
      <c r="B840" s="1">
        <v>46057</v>
      </c>
      <c r="C840" t="s">
        <v>3383</v>
      </c>
      <c r="D840" t="s">
        <v>23</v>
      </c>
      <c r="E840" t="s">
        <v>14</v>
      </c>
      <c r="F840" t="s">
        <v>79</v>
      </c>
      <c r="G840">
        <v>404058.25</v>
      </c>
      <c r="H840">
        <v>187755.99</v>
      </c>
      <c r="I840" t="s">
        <v>18</v>
      </c>
      <c r="J840" t="s">
        <v>41</v>
      </c>
      <c r="K840">
        <v>216302.26</v>
      </c>
      <c r="L840">
        <v>0.53532444888824815</v>
      </c>
    </row>
    <row r="841" spans="1:12" x14ac:dyDescent="0.35">
      <c r="A841" t="s">
        <v>2881</v>
      </c>
      <c r="B841" s="1">
        <v>46059</v>
      </c>
      <c r="C841" t="s">
        <v>67</v>
      </c>
      <c r="D841" t="s">
        <v>23</v>
      </c>
      <c r="E841" t="s">
        <v>109</v>
      </c>
      <c r="F841" t="s">
        <v>15</v>
      </c>
      <c r="G841">
        <v>344742.02</v>
      </c>
      <c r="H841">
        <v>208222.57</v>
      </c>
      <c r="I841" t="s">
        <v>32</v>
      </c>
      <c r="J841" t="s">
        <v>41</v>
      </c>
      <c r="K841">
        <v>136519.45000000001</v>
      </c>
      <c r="L841">
        <v>0.39600467039092013</v>
      </c>
    </row>
    <row r="842" spans="1:12" x14ac:dyDescent="0.35">
      <c r="A842" t="s">
        <v>2884</v>
      </c>
      <c r="B842" s="1">
        <v>46088</v>
      </c>
      <c r="C842" t="s">
        <v>52</v>
      </c>
      <c r="D842" t="s">
        <v>53</v>
      </c>
      <c r="E842" t="s">
        <v>109</v>
      </c>
      <c r="F842" t="s">
        <v>46</v>
      </c>
      <c r="G842">
        <v>291480.78000000003</v>
      </c>
      <c r="H842">
        <v>219789.79</v>
      </c>
      <c r="I842" t="s">
        <v>49</v>
      </c>
      <c r="J842" t="s">
        <v>19</v>
      </c>
      <c r="K842">
        <v>71690.99000000002</v>
      </c>
      <c r="L842">
        <v>0.24595443308474751</v>
      </c>
    </row>
    <row r="843" spans="1:12" x14ac:dyDescent="0.35">
      <c r="A843" t="s">
        <v>2887</v>
      </c>
      <c r="B843" s="1">
        <v>46155</v>
      </c>
      <c r="C843" t="s">
        <v>12</v>
      </c>
      <c r="D843" t="s">
        <v>36</v>
      </c>
      <c r="E843" t="s">
        <v>24</v>
      </c>
      <c r="F843" t="s">
        <v>46</v>
      </c>
      <c r="G843">
        <v>156077.68</v>
      </c>
      <c r="H843">
        <v>121115.3</v>
      </c>
      <c r="I843" t="s">
        <v>18</v>
      </c>
      <c r="J843" t="s">
        <v>19</v>
      </c>
      <c r="K843">
        <v>34962.37999999999</v>
      </c>
      <c r="L843">
        <v>0.22400627687443836</v>
      </c>
    </row>
    <row r="844" spans="1:12" x14ac:dyDescent="0.35">
      <c r="A844" t="s">
        <v>2890</v>
      </c>
      <c r="B844" s="1">
        <v>46038</v>
      </c>
      <c r="C844" t="s">
        <v>3383</v>
      </c>
      <c r="D844" t="s">
        <v>23</v>
      </c>
      <c r="E844" t="s">
        <v>14</v>
      </c>
      <c r="F844" t="s">
        <v>25</v>
      </c>
      <c r="G844">
        <v>346210.33</v>
      </c>
      <c r="H844">
        <v>202822</v>
      </c>
      <c r="I844" t="s">
        <v>32</v>
      </c>
      <c r="J844" t="s">
        <v>41</v>
      </c>
      <c r="K844">
        <v>143388.33000000002</v>
      </c>
      <c r="L844">
        <v>0.41416537166871942</v>
      </c>
    </row>
    <row r="845" spans="1:12" x14ac:dyDescent="0.35">
      <c r="A845" t="s">
        <v>2894</v>
      </c>
      <c r="B845" s="1">
        <v>46094</v>
      </c>
      <c r="C845" t="s">
        <v>67</v>
      </c>
      <c r="D845" t="s">
        <v>23</v>
      </c>
      <c r="E845" t="s">
        <v>14</v>
      </c>
      <c r="F845" t="s">
        <v>46</v>
      </c>
      <c r="G845">
        <v>110016.08</v>
      </c>
      <c r="H845">
        <v>59910.81</v>
      </c>
      <c r="I845" t="s">
        <v>18</v>
      </c>
      <c r="J845" t="s">
        <v>19</v>
      </c>
      <c r="K845">
        <v>50105.270000000004</v>
      </c>
      <c r="L845">
        <v>0.45543587810072855</v>
      </c>
    </row>
    <row r="846" spans="1:12" x14ac:dyDescent="0.35">
      <c r="A846" t="s">
        <v>2897</v>
      </c>
      <c r="B846" s="1">
        <v>46107</v>
      </c>
      <c r="C846" t="s">
        <v>12</v>
      </c>
      <c r="D846" t="s">
        <v>23</v>
      </c>
      <c r="E846" t="s">
        <v>109</v>
      </c>
      <c r="F846" t="s">
        <v>38</v>
      </c>
      <c r="G846">
        <v>486449.02</v>
      </c>
      <c r="H846">
        <v>235047.42</v>
      </c>
      <c r="I846" t="s">
        <v>49</v>
      </c>
      <c r="J846" t="s">
        <v>41</v>
      </c>
      <c r="K846">
        <v>251401.60000000001</v>
      </c>
      <c r="L846">
        <v>0.51680975737190304</v>
      </c>
    </row>
    <row r="847" spans="1:12" x14ac:dyDescent="0.35">
      <c r="A847" t="s">
        <v>2900</v>
      </c>
      <c r="B847" s="1">
        <v>46129</v>
      </c>
      <c r="C847" t="s">
        <v>12</v>
      </c>
      <c r="D847" t="s">
        <v>53</v>
      </c>
      <c r="E847" t="s">
        <v>37</v>
      </c>
      <c r="F847" t="s">
        <v>74</v>
      </c>
      <c r="G847">
        <v>173708.32</v>
      </c>
      <c r="H847">
        <v>137268.97</v>
      </c>
      <c r="I847" t="s">
        <v>49</v>
      </c>
      <c r="J847" t="s">
        <v>41</v>
      </c>
      <c r="K847">
        <v>36439.350000000006</v>
      </c>
      <c r="L847">
        <v>0.20977319911907505</v>
      </c>
    </row>
    <row r="848" spans="1:12" x14ac:dyDescent="0.35">
      <c r="A848" t="s">
        <v>2903</v>
      </c>
      <c r="B848" s="1">
        <v>46066</v>
      </c>
      <c r="C848" t="s">
        <v>52</v>
      </c>
      <c r="D848" t="s">
        <v>23</v>
      </c>
      <c r="E848" t="s">
        <v>24</v>
      </c>
      <c r="F848" t="s">
        <v>46</v>
      </c>
      <c r="G848">
        <v>86824.18</v>
      </c>
      <c r="H848">
        <v>61833.35</v>
      </c>
      <c r="I848" t="s">
        <v>32</v>
      </c>
      <c r="J848" t="s">
        <v>41</v>
      </c>
      <c r="K848">
        <v>24990.829999999994</v>
      </c>
      <c r="L848">
        <v>0.28783260607816852</v>
      </c>
    </row>
    <row r="849" spans="1:12" x14ac:dyDescent="0.35">
      <c r="A849" t="s">
        <v>2907</v>
      </c>
      <c r="B849" s="1">
        <v>46082</v>
      </c>
      <c r="C849" t="s">
        <v>12</v>
      </c>
      <c r="D849" t="s">
        <v>36</v>
      </c>
      <c r="E849" t="s">
        <v>24</v>
      </c>
      <c r="F849" t="s">
        <v>15</v>
      </c>
      <c r="G849">
        <v>236687.89</v>
      </c>
      <c r="H849">
        <v>169963.89</v>
      </c>
      <c r="I849" t="s">
        <v>32</v>
      </c>
      <c r="J849" t="s">
        <v>19</v>
      </c>
      <c r="K849">
        <v>66724</v>
      </c>
      <c r="L849">
        <v>0.28190711404795571</v>
      </c>
    </row>
    <row r="850" spans="1:12" x14ac:dyDescent="0.35">
      <c r="A850" t="s">
        <v>2910</v>
      </c>
      <c r="B850" s="1">
        <v>46194</v>
      </c>
      <c r="C850" t="s">
        <v>3383</v>
      </c>
      <c r="D850" t="s">
        <v>36</v>
      </c>
      <c r="E850" t="s">
        <v>134</v>
      </c>
      <c r="F850" t="s">
        <v>74</v>
      </c>
      <c r="G850">
        <v>412149.01</v>
      </c>
      <c r="H850">
        <v>177993.34</v>
      </c>
      <c r="I850" t="s">
        <v>32</v>
      </c>
      <c r="J850" t="s">
        <v>41</v>
      </c>
      <c r="K850">
        <v>234155.67</v>
      </c>
      <c r="L850">
        <v>0.56813352529950278</v>
      </c>
    </row>
    <row r="851" spans="1:12" x14ac:dyDescent="0.35">
      <c r="A851" t="s">
        <v>2913</v>
      </c>
      <c r="B851" s="1">
        <v>46065</v>
      </c>
      <c r="C851" t="s">
        <v>3383</v>
      </c>
      <c r="D851" t="s">
        <v>53</v>
      </c>
      <c r="E851" t="s">
        <v>134</v>
      </c>
      <c r="F851" t="s">
        <v>46</v>
      </c>
      <c r="G851">
        <v>117167.82</v>
      </c>
      <c r="H851">
        <v>59967.01</v>
      </c>
      <c r="I851" t="s">
        <v>32</v>
      </c>
      <c r="J851" t="s">
        <v>19</v>
      </c>
      <c r="K851">
        <v>57200.810000000005</v>
      </c>
      <c r="L851">
        <v>0.4881955642769491</v>
      </c>
    </row>
    <row r="852" spans="1:12" x14ac:dyDescent="0.35">
      <c r="A852" t="s">
        <v>2916</v>
      </c>
      <c r="B852" s="1">
        <v>46198</v>
      </c>
      <c r="C852" t="s">
        <v>3383</v>
      </c>
      <c r="D852" t="s">
        <v>23</v>
      </c>
      <c r="E852" t="s">
        <v>134</v>
      </c>
      <c r="F852" t="s">
        <v>74</v>
      </c>
      <c r="G852">
        <v>188137.13</v>
      </c>
      <c r="H852">
        <v>156180.07</v>
      </c>
      <c r="I852" t="s">
        <v>32</v>
      </c>
      <c r="J852" t="s">
        <v>41</v>
      </c>
      <c r="K852">
        <v>31957.059999999998</v>
      </c>
      <c r="L852">
        <v>0.16986046295061477</v>
      </c>
    </row>
    <row r="853" spans="1:12" x14ac:dyDescent="0.35">
      <c r="A853" t="s">
        <v>2919</v>
      </c>
      <c r="B853" s="1">
        <v>46191</v>
      </c>
      <c r="C853" t="s">
        <v>12</v>
      </c>
      <c r="D853" t="s">
        <v>23</v>
      </c>
      <c r="E853" t="s">
        <v>14</v>
      </c>
      <c r="F853" t="s">
        <v>38</v>
      </c>
      <c r="G853">
        <v>141121.22</v>
      </c>
      <c r="H853">
        <v>65233.95</v>
      </c>
      <c r="I853" t="s">
        <v>49</v>
      </c>
      <c r="J853" t="s">
        <v>19</v>
      </c>
      <c r="K853">
        <v>75887.27</v>
      </c>
      <c r="L853">
        <v>0.53774528026330837</v>
      </c>
    </row>
    <row r="854" spans="1:12" x14ac:dyDescent="0.35">
      <c r="A854" t="s">
        <v>2922</v>
      </c>
      <c r="B854" s="1">
        <v>46067</v>
      </c>
      <c r="C854" t="s">
        <v>52</v>
      </c>
      <c r="D854" t="s">
        <v>36</v>
      </c>
      <c r="E854" t="s">
        <v>134</v>
      </c>
      <c r="F854" t="s">
        <v>79</v>
      </c>
      <c r="G854">
        <v>316365.27</v>
      </c>
      <c r="H854">
        <v>182006.81</v>
      </c>
      <c r="I854" t="s">
        <v>49</v>
      </c>
      <c r="J854" t="s">
        <v>41</v>
      </c>
      <c r="K854">
        <v>134358.46000000002</v>
      </c>
      <c r="L854">
        <v>0.42469408857678975</v>
      </c>
    </row>
    <row r="855" spans="1:12" x14ac:dyDescent="0.35">
      <c r="A855" t="s">
        <v>2925</v>
      </c>
      <c r="B855" s="1">
        <v>46145</v>
      </c>
      <c r="C855" t="s">
        <v>67</v>
      </c>
      <c r="D855" t="s">
        <v>53</v>
      </c>
      <c r="E855" t="s">
        <v>109</v>
      </c>
      <c r="F855" t="s">
        <v>38</v>
      </c>
      <c r="G855">
        <v>154511.57999999999</v>
      </c>
      <c r="H855">
        <v>99091.43</v>
      </c>
      <c r="I855" t="s">
        <v>49</v>
      </c>
      <c r="J855" t="s">
        <v>41</v>
      </c>
      <c r="K855">
        <v>55420.149999999994</v>
      </c>
      <c r="L855">
        <v>0.35867958893436985</v>
      </c>
    </row>
    <row r="856" spans="1:12" x14ac:dyDescent="0.35">
      <c r="A856" t="s">
        <v>2928</v>
      </c>
      <c r="B856" s="1">
        <v>46171</v>
      </c>
      <c r="C856" t="s">
        <v>99</v>
      </c>
      <c r="D856" t="s">
        <v>53</v>
      </c>
      <c r="E856" t="s">
        <v>37</v>
      </c>
      <c r="F856" t="s">
        <v>46</v>
      </c>
      <c r="G856">
        <v>56314.07</v>
      </c>
      <c r="H856">
        <v>43097.32</v>
      </c>
      <c r="I856" t="s">
        <v>18</v>
      </c>
      <c r="J856" t="s">
        <v>19</v>
      </c>
      <c r="K856">
        <v>13216.75</v>
      </c>
      <c r="L856">
        <v>0.23469711921017253</v>
      </c>
    </row>
    <row r="857" spans="1:12" x14ac:dyDescent="0.35">
      <c r="A857" t="s">
        <v>2931</v>
      </c>
      <c r="B857" s="1">
        <v>46122</v>
      </c>
      <c r="C857" t="s">
        <v>3383</v>
      </c>
      <c r="D857" t="s">
        <v>23</v>
      </c>
      <c r="E857" t="s">
        <v>14</v>
      </c>
      <c r="F857" t="s">
        <v>15</v>
      </c>
      <c r="G857">
        <v>83814.3</v>
      </c>
      <c r="H857">
        <v>58402.59</v>
      </c>
      <c r="I857" t="s">
        <v>18</v>
      </c>
      <c r="J857" t="s">
        <v>41</v>
      </c>
      <c r="K857">
        <v>25411.710000000006</v>
      </c>
      <c r="L857">
        <v>0.30319062498881461</v>
      </c>
    </row>
    <row r="858" spans="1:12" x14ac:dyDescent="0.35">
      <c r="A858" t="s">
        <v>2934</v>
      </c>
      <c r="B858" s="1">
        <v>46056</v>
      </c>
      <c r="C858" t="s">
        <v>3383</v>
      </c>
      <c r="D858" t="s">
        <v>36</v>
      </c>
      <c r="E858" t="s">
        <v>45</v>
      </c>
      <c r="F858" t="s">
        <v>15</v>
      </c>
      <c r="G858">
        <v>70818.27</v>
      </c>
      <c r="H858">
        <v>63959.75</v>
      </c>
      <c r="I858" t="s">
        <v>49</v>
      </c>
      <c r="J858" t="s">
        <v>41</v>
      </c>
      <c r="K858">
        <v>6858.5200000000041</v>
      </c>
      <c r="L858">
        <v>9.6846760023931736E-2</v>
      </c>
    </row>
    <row r="859" spans="1:12" x14ac:dyDescent="0.35">
      <c r="A859" t="s">
        <v>2937</v>
      </c>
      <c r="B859" s="1">
        <v>46138</v>
      </c>
      <c r="C859" t="s">
        <v>3383</v>
      </c>
      <c r="D859" t="s">
        <v>36</v>
      </c>
      <c r="E859" t="s">
        <v>134</v>
      </c>
      <c r="F859" t="s">
        <v>74</v>
      </c>
      <c r="G859">
        <v>381830</v>
      </c>
      <c r="H859">
        <v>336144.09</v>
      </c>
      <c r="I859" t="s">
        <v>32</v>
      </c>
      <c r="J859" t="s">
        <v>41</v>
      </c>
      <c r="K859">
        <v>45685.909999999974</v>
      </c>
      <c r="L859">
        <v>0.11964987036115542</v>
      </c>
    </row>
    <row r="860" spans="1:12" x14ac:dyDescent="0.35">
      <c r="A860" t="s">
        <v>2941</v>
      </c>
      <c r="B860" s="1">
        <v>46162</v>
      </c>
      <c r="C860" t="s">
        <v>3383</v>
      </c>
      <c r="D860" t="s">
        <v>23</v>
      </c>
      <c r="E860" t="s">
        <v>14</v>
      </c>
      <c r="F860" t="s">
        <v>25</v>
      </c>
      <c r="G860">
        <v>328293.74</v>
      </c>
      <c r="H860">
        <v>237669.2</v>
      </c>
      <c r="I860" t="s">
        <v>32</v>
      </c>
      <c r="J860" t="s">
        <v>19</v>
      </c>
      <c r="K860">
        <v>90624.539999999979</v>
      </c>
      <c r="L860">
        <v>0.2760471156105504</v>
      </c>
    </row>
    <row r="861" spans="1:12" x14ac:dyDescent="0.35">
      <c r="A861" t="s">
        <v>2944</v>
      </c>
      <c r="B861" s="1">
        <v>46122</v>
      </c>
      <c r="C861" t="s">
        <v>99</v>
      </c>
      <c r="D861" t="s">
        <v>36</v>
      </c>
      <c r="E861" t="s">
        <v>134</v>
      </c>
      <c r="F861" t="s">
        <v>46</v>
      </c>
      <c r="G861">
        <v>370621.36</v>
      </c>
      <c r="H861">
        <v>346731.95</v>
      </c>
      <c r="I861" t="s">
        <v>49</v>
      </c>
      <c r="J861" t="s">
        <v>19</v>
      </c>
      <c r="K861">
        <v>23889.409999999974</v>
      </c>
      <c r="L861">
        <v>6.4457725804038857E-2</v>
      </c>
    </row>
    <row r="862" spans="1:12" x14ac:dyDescent="0.35">
      <c r="A862" t="s">
        <v>2947</v>
      </c>
      <c r="B862" s="1">
        <v>46180</v>
      </c>
      <c r="C862" t="s">
        <v>99</v>
      </c>
      <c r="D862" t="s">
        <v>53</v>
      </c>
      <c r="E862" t="s">
        <v>37</v>
      </c>
      <c r="F862" t="s">
        <v>38</v>
      </c>
      <c r="G862">
        <v>81715.360000000001</v>
      </c>
      <c r="H862">
        <v>59354.77</v>
      </c>
      <c r="I862" t="s">
        <v>32</v>
      </c>
      <c r="J862" t="s">
        <v>19</v>
      </c>
      <c r="K862">
        <v>22360.590000000004</v>
      </c>
      <c r="L862">
        <v>0.2736399864113675</v>
      </c>
    </row>
    <row r="863" spans="1:12" x14ac:dyDescent="0.35">
      <c r="A863" t="s">
        <v>2950</v>
      </c>
      <c r="B863" s="1">
        <v>46137</v>
      </c>
      <c r="C863" t="s">
        <v>67</v>
      </c>
      <c r="D863" t="s">
        <v>53</v>
      </c>
      <c r="E863" t="s">
        <v>37</v>
      </c>
      <c r="F863" t="s">
        <v>15</v>
      </c>
      <c r="G863">
        <v>413689.94</v>
      </c>
      <c r="H863">
        <v>361627.43</v>
      </c>
      <c r="I863" t="s">
        <v>18</v>
      </c>
      <c r="J863" t="s">
        <v>41</v>
      </c>
      <c r="K863">
        <v>52062.510000000009</v>
      </c>
      <c r="L863">
        <v>0.12584910815090164</v>
      </c>
    </row>
    <row r="864" spans="1:12" x14ac:dyDescent="0.35">
      <c r="A864" t="s">
        <v>2953</v>
      </c>
      <c r="B864" s="1">
        <v>46178</v>
      </c>
      <c r="C864" t="s">
        <v>12</v>
      </c>
      <c r="D864" t="s">
        <v>53</v>
      </c>
      <c r="E864" t="s">
        <v>37</v>
      </c>
      <c r="F864" t="s">
        <v>25</v>
      </c>
      <c r="G864">
        <v>143584.91</v>
      </c>
      <c r="H864">
        <v>69885.67</v>
      </c>
      <c r="I864" t="s">
        <v>32</v>
      </c>
      <c r="J864" t="s">
        <v>41</v>
      </c>
      <c r="K864">
        <v>73699.240000000005</v>
      </c>
      <c r="L864">
        <v>0.51327984256841475</v>
      </c>
    </row>
    <row r="865" spans="1:12" x14ac:dyDescent="0.35">
      <c r="A865" t="s">
        <v>2956</v>
      </c>
      <c r="B865" s="1">
        <v>46159</v>
      </c>
      <c r="C865" t="s">
        <v>12</v>
      </c>
      <c r="D865" t="s">
        <v>53</v>
      </c>
      <c r="E865" t="s">
        <v>109</v>
      </c>
      <c r="F865" t="s">
        <v>79</v>
      </c>
      <c r="G865">
        <v>96109.24</v>
      </c>
      <c r="H865">
        <v>47632.67</v>
      </c>
      <c r="I865" t="s">
        <v>49</v>
      </c>
      <c r="J865" t="s">
        <v>19</v>
      </c>
      <c r="K865">
        <v>48476.570000000007</v>
      </c>
      <c r="L865">
        <v>0.50439031668547174</v>
      </c>
    </row>
    <row r="866" spans="1:12" x14ac:dyDescent="0.35">
      <c r="A866" t="s">
        <v>2959</v>
      </c>
      <c r="B866" s="1">
        <v>46098</v>
      </c>
      <c r="C866" t="s">
        <v>67</v>
      </c>
      <c r="D866" t="s">
        <v>23</v>
      </c>
      <c r="E866" t="s">
        <v>14</v>
      </c>
      <c r="F866" t="s">
        <v>15</v>
      </c>
      <c r="G866">
        <v>385568.02</v>
      </c>
      <c r="H866">
        <v>192622</v>
      </c>
      <c r="I866" t="s">
        <v>18</v>
      </c>
      <c r="J866" t="s">
        <v>41</v>
      </c>
      <c r="K866">
        <v>192946.02000000002</v>
      </c>
      <c r="L866">
        <v>0.50042018526329024</v>
      </c>
    </row>
    <row r="867" spans="1:12" x14ac:dyDescent="0.35">
      <c r="A867" t="s">
        <v>2962</v>
      </c>
      <c r="B867" s="1">
        <v>46086</v>
      </c>
      <c r="C867" t="s">
        <v>12</v>
      </c>
      <c r="D867" t="s">
        <v>53</v>
      </c>
      <c r="E867" t="s">
        <v>45</v>
      </c>
      <c r="F867" t="s">
        <v>74</v>
      </c>
      <c r="G867">
        <v>308381.24</v>
      </c>
      <c r="H867">
        <v>165434.32</v>
      </c>
      <c r="I867" t="s">
        <v>18</v>
      </c>
      <c r="J867" t="s">
        <v>41</v>
      </c>
      <c r="K867">
        <v>142946.91999999998</v>
      </c>
      <c r="L867">
        <v>0.46353961090499535</v>
      </c>
    </row>
    <row r="868" spans="1:12" x14ac:dyDescent="0.35">
      <c r="A868" t="s">
        <v>2965</v>
      </c>
      <c r="B868" s="1">
        <v>46081</v>
      </c>
      <c r="C868" t="s">
        <v>99</v>
      </c>
      <c r="D868" t="s">
        <v>36</v>
      </c>
      <c r="E868" t="s">
        <v>45</v>
      </c>
      <c r="F868" t="s">
        <v>38</v>
      </c>
      <c r="G868">
        <v>480883.33</v>
      </c>
      <c r="H868">
        <v>227675.15</v>
      </c>
      <c r="I868" t="s">
        <v>49</v>
      </c>
      <c r="J868" t="s">
        <v>19</v>
      </c>
      <c r="K868">
        <v>253208.18000000002</v>
      </c>
      <c r="L868">
        <v>0.52654805064671306</v>
      </c>
    </row>
    <row r="869" spans="1:12" x14ac:dyDescent="0.35">
      <c r="A869" t="s">
        <v>2968</v>
      </c>
      <c r="B869" s="1">
        <v>46054</v>
      </c>
      <c r="C869" t="s">
        <v>12</v>
      </c>
      <c r="D869" t="s">
        <v>53</v>
      </c>
      <c r="E869" t="s">
        <v>134</v>
      </c>
      <c r="F869" t="s">
        <v>25</v>
      </c>
      <c r="G869">
        <v>131205.63</v>
      </c>
      <c r="H869">
        <v>71990.37</v>
      </c>
      <c r="I869" t="s">
        <v>49</v>
      </c>
      <c r="J869" t="s">
        <v>19</v>
      </c>
      <c r="K869">
        <v>59215.260000000009</v>
      </c>
      <c r="L869">
        <v>0.45131645646608309</v>
      </c>
    </row>
    <row r="870" spans="1:12" x14ac:dyDescent="0.35">
      <c r="A870" t="s">
        <v>2971</v>
      </c>
      <c r="B870" s="1">
        <v>46068</v>
      </c>
      <c r="C870" t="s">
        <v>3383</v>
      </c>
      <c r="D870" t="s">
        <v>53</v>
      </c>
      <c r="E870" t="s">
        <v>109</v>
      </c>
      <c r="F870" t="s">
        <v>15</v>
      </c>
      <c r="G870">
        <v>130524.14</v>
      </c>
      <c r="H870">
        <v>60543.26</v>
      </c>
      <c r="I870" t="s">
        <v>32</v>
      </c>
      <c r="J870" t="s">
        <v>41</v>
      </c>
      <c r="K870">
        <v>69980.88</v>
      </c>
      <c r="L870">
        <v>0.53615277603054889</v>
      </c>
    </row>
    <row r="871" spans="1:12" x14ac:dyDescent="0.35">
      <c r="A871" t="s">
        <v>2974</v>
      </c>
      <c r="B871" s="1">
        <v>46188</v>
      </c>
      <c r="C871" t="s">
        <v>12</v>
      </c>
      <c r="D871" t="s">
        <v>36</v>
      </c>
      <c r="E871" t="s">
        <v>109</v>
      </c>
      <c r="F871" t="s">
        <v>15</v>
      </c>
      <c r="G871">
        <v>321778.90000000002</v>
      </c>
      <c r="H871">
        <v>207535.61</v>
      </c>
      <c r="I871" t="s">
        <v>49</v>
      </c>
      <c r="J871" t="s">
        <v>19</v>
      </c>
      <c r="K871">
        <v>114243.29000000004</v>
      </c>
      <c r="L871">
        <v>0.35503661054220781</v>
      </c>
    </row>
    <row r="872" spans="1:12" x14ac:dyDescent="0.35">
      <c r="A872" t="s">
        <v>2977</v>
      </c>
      <c r="B872" s="1">
        <v>46193</v>
      </c>
      <c r="C872" t="s">
        <v>12</v>
      </c>
      <c r="D872" t="s">
        <v>23</v>
      </c>
      <c r="E872" t="s">
        <v>24</v>
      </c>
      <c r="F872" t="s">
        <v>46</v>
      </c>
      <c r="G872">
        <v>371242.76</v>
      </c>
      <c r="H872">
        <v>223661.56</v>
      </c>
      <c r="I872" t="s">
        <v>18</v>
      </c>
      <c r="J872" t="s">
        <v>19</v>
      </c>
      <c r="K872">
        <v>147581.20000000001</v>
      </c>
      <c r="L872">
        <v>0.39753287040533802</v>
      </c>
    </row>
    <row r="873" spans="1:12" x14ac:dyDescent="0.35">
      <c r="A873" t="s">
        <v>2980</v>
      </c>
      <c r="B873" s="1">
        <v>46103</v>
      </c>
      <c r="C873" t="s">
        <v>3383</v>
      </c>
      <c r="D873" t="s">
        <v>23</v>
      </c>
      <c r="E873" t="s">
        <v>134</v>
      </c>
      <c r="F873" t="s">
        <v>38</v>
      </c>
      <c r="G873">
        <v>337041.17</v>
      </c>
      <c r="H873">
        <v>302953.23</v>
      </c>
      <c r="I873" t="s">
        <v>32</v>
      </c>
      <c r="J873" t="s">
        <v>41</v>
      </c>
      <c r="K873">
        <v>34087.94</v>
      </c>
      <c r="L873">
        <v>0.10113880152979532</v>
      </c>
    </row>
    <row r="874" spans="1:12" x14ac:dyDescent="0.35">
      <c r="A874" t="s">
        <v>2983</v>
      </c>
      <c r="B874" s="1">
        <v>46084</v>
      </c>
      <c r="C874" t="s">
        <v>12</v>
      </c>
      <c r="D874" t="s">
        <v>36</v>
      </c>
      <c r="E874" t="s">
        <v>37</v>
      </c>
      <c r="F874" t="s">
        <v>79</v>
      </c>
      <c r="G874">
        <v>232932.9</v>
      </c>
      <c r="H874">
        <v>191637.78</v>
      </c>
      <c r="I874" t="s">
        <v>49</v>
      </c>
      <c r="J874" t="s">
        <v>19</v>
      </c>
      <c r="K874">
        <v>41295.119999999995</v>
      </c>
      <c r="L874">
        <v>0.17728332923344017</v>
      </c>
    </row>
    <row r="875" spans="1:12" x14ac:dyDescent="0.35">
      <c r="A875" t="s">
        <v>2986</v>
      </c>
      <c r="B875" s="1">
        <v>46201</v>
      </c>
      <c r="C875" t="s">
        <v>3383</v>
      </c>
      <c r="D875" t="s">
        <v>53</v>
      </c>
      <c r="E875" t="s">
        <v>45</v>
      </c>
      <c r="F875" t="s">
        <v>15</v>
      </c>
      <c r="G875">
        <v>134476.01</v>
      </c>
      <c r="H875">
        <v>118344.64</v>
      </c>
      <c r="I875" t="s">
        <v>18</v>
      </c>
      <c r="J875" t="s">
        <v>19</v>
      </c>
      <c r="K875">
        <v>16131.37000000001</v>
      </c>
      <c r="L875">
        <v>0.11995723252050688</v>
      </c>
    </row>
    <row r="876" spans="1:12" x14ac:dyDescent="0.35">
      <c r="A876" t="s">
        <v>2989</v>
      </c>
      <c r="B876" s="1">
        <v>46119</v>
      </c>
      <c r="C876" t="s">
        <v>12</v>
      </c>
      <c r="D876" t="s">
        <v>23</v>
      </c>
      <c r="E876" t="s">
        <v>134</v>
      </c>
      <c r="F876" t="s">
        <v>74</v>
      </c>
      <c r="G876">
        <v>117294.33</v>
      </c>
      <c r="H876">
        <v>61226.78</v>
      </c>
      <c r="I876" t="s">
        <v>49</v>
      </c>
      <c r="J876" t="s">
        <v>19</v>
      </c>
      <c r="K876">
        <v>56067.55</v>
      </c>
      <c r="L876">
        <v>0.47800733419935987</v>
      </c>
    </row>
    <row r="877" spans="1:12" x14ac:dyDescent="0.35">
      <c r="A877" t="s">
        <v>2993</v>
      </c>
      <c r="B877" s="1">
        <v>46125</v>
      </c>
      <c r="C877" t="s">
        <v>67</v>
      </c>
      <c r="D877" t="s">
        <v>23</v>
      </c>
      <c r="E877" t="s">
        <v>109</v>
      </c>
      <c r="F877" t="s">
        <v>74</v>
      </c>
      <c r="G877">
        <v>378496.62</v>
      </c>
      <c r="H877">
        <v>214920.06</v>
      </c>
      <c r="I877" t="s">
        <v>18</v>
      </c>
      <c r="J877" t="s">
        <v>19</v>
      </c>
      <c r="K877">
        <v>163576.56</v>
      </c>
      <c r="L877">
        <v>0.43217442734363121</v>
      </c>
    </row>
    <row r="878" spans="1:12" x14ac:dyDescent="0.35">
      <c r="A878" t="s">
        <v>2996</v>
      </c>
      <c r="B878" s="1">
        <v>46024</v>
      </c>
      <c r="C878" t="s">
        <v>52</v>
      </c>
      <c r="D878" t="s">
        <v>23</v>
      </c>
      <c r="E878" t="s">
        <v>37</v>
      </c>
      <c r="F878" t="s">
        <v>25</v>
      </c>
      <c r="G878">
        <v>344292.4</v>
      </c>
      <c r="H878">
        <v>176871.58</v>
      </c>
      <c r="I878" t="s">
        <v>49</v>
      </c>
      <c r="J878" t="s">
        <v>41</v>
      </c>
      <c r="K878">
        <v>167420.82000000004</v>
      </c>
      <c r="L878">
        <v>0.48627509640061767</v>
      </c>
    </row>
    <row r="879" spans="1:12" x14ac:dyDescent="0.35">
      <c r="A879" t="s">
        <v>2999</v>
      </c>
      <c r="B879" s="1">
        <v>46065</v>
      </c>
      <c r="C879" t="s">
        <v>12</v>
      </c>
      <c r="D879" t="s">
        <v>36</v>
      </c>
      <c r="E879" t="s">
        <v>24</v>
      </c>
      <c r="F879" t="s">
        <v>46</v>
      </c>
      <c r="G879">
        <v>228679</v>
      </c>
      <c r="H879">
        <v>99640.16</v>
      </c>
      <c r="I879" t="s">
        <v>49</v>
      </c>
      <c r="J879" t="s">
        <v>41</v>
      </c>
      <c r="K879">
        <v>129038.84</v>
      </c>
      <c r="L879">
        <v>0.5642793610257173</v>
      </c>
    </row>
    <row r="880" spans="1:12" x14ac:dyDescent="0.35">
      <c r="A880" t="s">
        <v>3002</v>
      </c>
      <c r="B880" s="1">
        <v>46118</v>
      </c>
      <c r="C880" t="s">
        <v>67</v>
      </c>
      <c r="D880" t="s">
        <v>23</v>
      </c>
      <c r="E880" t="s">
        <v>37</v>
      </c>
      <c r="F880" t="s">
        <v>46</v>
      </c>
      <c r="G880">
        <v>234340.68</v>
      </c>
      <c r="H880">
        <v>128650.79</v>
      </c>
      <c r="I880" t="s">
        <v>32</v>
      </c>
      <c r="J880" t="s">
        <v>41</v>
      </c>
      <c r="K880">
        <v>105689.89</v>
      </c>
      <c r="L880">
        <v>0.45100957290044563</v>
      </c>
    </row>
    <row r="881" spans="1:12" x14ac:dyDescent="0.35">
      <c r="A881" t="s">
        <v>3005</v>
      </c>
      <c r="B881" s="1">
        <v>46119</v>
      </c>
      <c r="C881" t="s">
        <v>12</v>
      </c>
      <c r="D881" t="s">
        <v>23</v>
      </c>
      <c r="E881" t="s">
        <v>37</v>
      </c>
      <c r="F881" t="s">
        <v>74</v>
      </c>
      <c r="G881">
        <v>66428.69</v>
      </c>
      <c r="H881">
        <v>37755.74</v>
      </c>
      <c r="I881" t="s">
        <v>49</v>
      </c>
      <c r="J881" t="s">
        <v>19</v>
      </c>
      <c r="K881">
        <v>28672.950000000004</v>
      </c>
      <c r="L881">
        <v>0.43163503600627989</v>
      </c>
    </row>
    <row r="882" spans="1:12" x14ac:dyDescent="0.35">
      <c r="A882" t="s">
        <v>3008</v>
      </c>
      <c r="B882" s="1">
        <v>46053</v>
      </c>
      <c r="C882" t="s">
        <v>3383</v>
      </c>
      <c r="D882" t="s">
        <v>36</v>
      </c>
      <c r="E882" t="s">
        <v>109</v>
      </c>
      <c r="F882" t="s">
        <v>46</v>
      </c>
      <c r="G882">
        <v>80243.7</v>
      </c>
      <c r="H882">
        <v>64004.52</v>
      </c>
      <c r="I882" t="s">
        <v>49</v>
      </c>
      <c r="J882" t="s">
        <v>41</v>
      </c>
      <c r="K882">
        <v>16239.18</v>
      </c>
      <c r="L882">
        <v>0.20237327042496794</v>
      </c>
    </row>
    <row r="883" spans="1:12" x14ac:dyDescent="0.35">
      <c r="A883" t="s">
        <v>3011</v>
      </c>
      <c r="B883" s="1">
        <v>46068</v>
      </c>
      <c r="C883" t="s">
        <v>12</v>
      </c>
      <c r="D883" t="s">
        <v>36</v>
      </c>
      <c r="E883" t="s">
        <v>37</v>
      </c>
      <c r="F883" t="s">
        <v>38</v>
      </c>
      <c r="G883">
        <v>163235.89000000001</v>
      </c>
      <c r="H883">
        <v>139166.96</v>
      </c>
      <c r="I883" t="s">
        <v>18</v>
      </c>
      <c r="J883" t="s">
        <v>19</v>
      </c>
      <c r="K883">
        <v>24068.930000000022</v>
      </c>
      <c r="L883">
        <v>0.147448762646499</v>
      </c>
    </row>
    <row r="884" spans="1:12" x14ac:dyDescent="0.35">
      <c r="A884" t="s">
        <v>3014</v>
      </c>
      <c r="B884" s="1">
        <v>46057</v>
      </c>
      <c r="C884" t="s">
        <v>99</v>
      </c>
      <c r="D884" t="s">
        <v>53</v>
      </c>
      <c r="E884" t="s">
        <v>109</v>
      </c>
      <c r="F884" t="s">
        <v>74</v>
      </c>
      <c r="G884">
        <v>426955.53</v>
      </c>
      <c r="H884">
        <v>258808.95999999999</v>
      </c>
      <c r="I884" t="s">
        <v>49</v>
      </c>
      <c r="J884" t="s">
        <v>41</v>
      </c>
      <c r="K884">
        <v>168146.57000000004</v>
      </c>
      <c r="L884">
        <v>0.39382689340035021</v>
      </c>
    </row>
    <row r="885" spans="1:12" x14ac:dyDescent="0.35">
      <c r="A885" t="s">
        <v>3017</v>
      </c>
      <c r="B885" s="1">
        <v>46183</v>
      </c>
      <c r="C885" t="s">
        <v>67</v>
      </c>
      <c r="D885" t="s">
        <v>23</v>
      </c>
      <c r="E885" t="s">
        <v>134</v>
      </c>
      <c r="F885" t="s">
        <v>46</v>
      </c>
      <c r="G885">
        <v>85429.06</v>
      </c>
      <c r="H885">
        <v>72714.25</v>
      </c>
      <c r="I885" t="s">
        <v>32</v>
      </c>
      <c r="J885" t="s">
        <v>41</v>
      </c>
      <c r="K885">
        <v>12714.809999999998</v>
      </c>
      <c r="L885">
        <v>0.14883471736666654</v>
      </c>
    </row>
    <row r="886" spans="1:12" x14ac:dyDescent="0.35">
      <c r="A886" t="s">
        <v>3020</v>
      </c>
      <c r="B886" s="1">
        <v>46160</v>
      </c>
      <c r="C886" t="s">
        <v>3383</v>
      </c>
      <c r="D886" t="s">
        <v>36</v>
      </c>
      <c r="E886" t="s">
        <v>109</v>
      </c>
      <c r="F886" t="s">
        <v>79</v>
      </c>
      <c r="G886">
        <v>418915.46</v>
      </c>
      <c r="H886">
        <v>379445.53</v>
      </c>
      <c r="I886" t="s">
        <v>18</v>
      </c>
      <c r="J886" t="s">
        <v>19</v>
      </c>
      <c r="K886">
        <v>39469.929999999993</v>
      </c>
      <c r="L886">
        <v>9.4219320528299413E-2</v>
      </c>
    </row>
    <row r="887" spans="1:12" x14ac:dyDescent="0.35">
      <c r="A887" t="s">
        <v>3023</v>
      </c>
      <c r="B887" s="1">
        <v>46129</v>
      </c>
      <c r="C887" t="s">
        <v>3383</v>
      </c>
      <c r="D887" t="s">
        <v>36</v>
      </c>
      <c r="E887" t="s">
        <v>37</v>
      </c>
      <c r="F887" t="s">
        <v>74</v>
      </c>
      <c r="G887">
        <v>209041.82</v>
      </c>
      <c r="H887">
        <v>169683.08</v>
      </c>
      <c r="I887" t="s">
        <v>49</v>
      </c>
      <c r="J887" t="s">
        <v>19</v>
      </c>
      <c r="K887">
        <v>39358.74000000002</v>
      </c>
      <c r="L887">
        <v>0.18828165579499842</v>
      </c>
    </row>
    <row r="888" spans="1:12" x14ac:dyDescent="0.35">
      <c r="A888" t="s">
        <v>3026</v>
      </c>
      <c r="B888" s="1">
        <v>46040</v>
      </c>
      <c r="C888" t="s">
        <v>12</v>
      </c>
      <c r="D888" t="s">
        <v>23</v>
      </c>
      <c r="E888" t="s">
        <v>24</v>
      </c>
      <c r="F888" t="s">
        <v>79</v>
      </c>
      <c r="G888">
        <v>115733.77</v>
      </c>
      <c r="H888">
        <v>63360.1</v>
      </c>
      <c r="I888" t="s">
        <v>18</v>
      </c>
      <c r="J888" t="s">
        <v>41</v>
      </c>
      <c r="K888">
        <v>52373.670000000006</v>
      </c>
      <c r="L888">
        <v>0.45253576376195126</v>
      </c>
    </row>
    <row r="889" spans="1:12" x14ac:dyDescent="0.35">
      <c r="A889" t="s">
        <v>3029</v>
      </c>
      <c r="B889" s="1">
        <v>46095</v>
      </c>
      <c r="C889" t="s">
        <v>12</v>
      </c>
      <c r="D889" t="s">
        <v>36</v>
      </c>
      <c r="E889" t="s">
        <v>134</v>
      </c>
      <c r="F889" t="s">
        <v>15</v>
      </c>
      <c r="G889">
        <v>186367.94</v>
      </c>
      <c r="H889">
        <v>84943.59</v>
      </c>
      <c r="I889" t="s">
        <v>49</v>
      </c>
      <c r="J889" t="s">
        <v>41</v>
      </c>
      <c r="K889">
        <v>101424.35</v>
      </c>
      <c r="L889">
        <v>0.54421565211269707</v>
      </c>
    </row>
    <row r="890" spans="1:12" x14ac:dyDescent="0.35">
      <c r="A890" t="s">
        <v>3032</v>
      </c>
      <c r="B890" s="1">
        <v>46073</v>
      </c>
      <c r="C890" t="s">
        <v>12</v>
      </c>
      <c r="D890" t="s">
        <v>53</v>
      </c>
      <c r="E890" t="s">
        <v>14</v>
      </c>
      <c r="F890" t="s">
        <v>46</v>
      </c>
      <c r="G890">
        <v>193319.67999999999</v>
      </c>
      <c r="H890">
        <v>94871.63</v>
      </c>
      <c r="I890" t="s">
        <v>18</v>
      </c>
      <c r="J890" t="s">
        <v>19</v>
      </c>
      <c r="K890">
        <v>98448.049999999988</v>
      </c>
      <c r="L890">
        <v>0.50925001531142611</v>
      </c>
    </row>
    <row r="891" spans="1:12" x14ac:dyDescent="0.35">
      <c r="A891" t="s">
        <v>3035</v>
      </c>
      <c r="B891" s="1">
        <v>46142</v>
      </c>
      <c r="C891" t="s">
        <v>12</v>
      </c>
      <c r="D891" t="s">
        <v>23</v>
      </c>
      <c r="E891" t="s">
        <v>24</v>
      </c>
      <c r="F891" t="s">
        <v>79</v>
      </c>
      <c r="G891">
        <v>94197.64</v>
      </c>
      <c r="H891">
        <v>88292.95</v>
      </c>
      <c r="I891" t="s">
        <v>32</v>
      </c>
      <c r="J891" t="s">
        <v>19</v>
      </c>
      <c r="K891">
        <v>5904.6900000000023</v>
      </c>
      <c r="L891">
        <v>6.2684054504974884E-2</v>
      </c>
    </row>
    <row r="892" spans="1:12" x14ac:dyDescent="0.35">
      <c r="A892" t="s">
        <v>3038</v>
      </c>
      <c r="B892" s="1">
        <v>46107</v>
      </c>
      <c r="C892" t="s">
        <v>12</v>
      </c>
      <c r="D892" t="s">
        <v>23</v>
      </c>
      <c r="E892" t="s">
        <v>45</v>
      </c>
      <c r="F892" t="s">
        <v>74</v>
      </c>
      <c r="G892">
        <v>381185.66</v>
      </c>
      <c r="H892">
        <v>207117.2</v>
      </c>
      <c r="I892" t="s">
        <v>49</v>
      </c>
      <c r="J892" t="s">
        <v>41</v>
      </c>
      <c r="K892">
        <v>174068.45999999996</v>
      </c>
      <c r="L892">
        <v>0.45665007440206429</v>
      </c>
    </row>
    <row r="893" spans="1:12" x14ac:dyDescent="0.35">
      <c r="A893" t="s">
        <v>3041</v>
      </c>
      <c r="B893" s="1">
        <v>46031</v>
      </c>
      <c r="C893" t="s">
        <v>12</v>
      </c>
      <c r="D893" t="s">
        <v>36</v>
      </c>
      <c r="E893" t="s">
        <v>109</v>
      </c>
      <c r="F893" t="s">
        <v>74</v>
      </c>
      <c r="G893">
        <v>267926</v>
      </c>
      <c r="H893">
        <v>120744</v>
      </c>
      <c r="I893" t="s">
        <v>32</v>
      </c>
      <c r="J893" t="s">
        <v>19</v>
      </c>
      <c r="K893">
        <v>147182</v>
      </c>
      <c r="L893">
        <v>0.54933825011383741</v>
      </c>
    </row>
    <row r="894" spans="1:12" x14ac:dyDescent="0.35">
      <c r="A894" t="s">
        <v>3044</v>
      </c>
      <c r="B894" s="1">
        <v>46163</v>
      </c>
      <c r="C894" t="s">
        <v>12</v>
      </c>
      <c r="D894" t="s">
        <v>23</v>
      </c>
      <c r="E894" t="s">
        <v>24</v>
      </c>
      <c r="F894" t="s">
        <v>25</v>
      </c>
      <c r="G894">
        <v>369195.91</v>
      </c>
      <c r="H894">
        <v>216363.33</v>
      </c>
      <c r="I894" t="s">
        <v>49</v>
      </c>
      <c r="J894" t="s">
        <v>41</v>
      </c>
      <c r="K894">
        <v>152832.57999999999</v>
      </c>
      <c r="L894">
        <v>0.4139606530310696</v>
      </c>
    </row>
    <row r="895" spans="1:12" x14ac:dyDescent="0.35">
      <c r="A895" t="s">
        <v>3047</v>
      </c>
      <c r="B895" s="1">
        <v>46076</v>
      </c>
      <c r="C895" t="s">
        <v>99</v>
      </c>
      <c r="D895" t="s">
        <v>23</v>
      </c>
      <c r="E895" t="s">
        <v>14</v>
      </c>
      <c r="F895" t="s">
        <v>74</v>
      </c>
      <c r="G895">
        <v>182479.67</v>
      </c>
      <c r="H895">
        <v>122558.04</v>
      </c>
      <c r="I895" t="s">
        <v>49</v>
      </c>
      <c r="J895" t="s">
        <v>41</v>
      </c>
      <c r="K895">
        <v>59921.630000000019</v>
      </c>
      <c r="L895">
        <v>0.32837427862512036</v>
      </c>
    </row>
    <row r="896" spans="1:12" x14ac:dyDescent="0.35">
      <c r="A896" t="s">
        <v>3050</v>
      </c>
      <c r="B896" s="1">
        <v>46037</v>
      </c>
      <c r="C896" t="s">
        <v>67</v>
      </c>
      <c r="D896" t="s">
        <v>36</v>
      </c>
      <c r="E896" t="s">
        <v>14</v>
      </c>
      <c r="F896" t="s">
        <v>38</v>
      </c>
      <c r="G896">
        <v>106525.14</v>
      </c>
      <c r="H896">
        <v>69178.460000000006</v>
      </c>
      <c r="I896" t="s">
        <v>18</v>
      </c>
      <c r="J896" t="s">
        <v>19</v>
      </c>
      <c r="K896">
        <v>37346.679999999993</v>
      </c>
      <c r="L896">
        <v>0.35059029258257718</v>
      </c>
    </row>
    <row r="897" spans="1:12" x14ac:dyDescent="0.35">
      <c r="A897" t="s">
        <v>3053</v>
      </c>
      <c r="B897" s="1">
        <v>46100</v>
      </c>
      <c r="C897" t="s">
        <v>99</v>
      </c>
      <c r="D897" t="s">
        <v>23</v>
      </c>
      <c r="E897" t="s">
        <v>134</v>
      </c>
      <c r="F897" t="s">
        <v>25</v>
      </c>
      <c r="G897">
        <v>346928.08</v>
      </c>
      <c r="H897">
        <v>308194.07</v>
      </c>
      <c r="I897" t="s">
        <v>32</v>
      </c>
      <c r="J897" t="s">
        <v>41</v>
      </c>
      <c r="K897">
        <v>38734.010000000009</v>
      </c>
      <c r="L897">
        <v>0.1116485295741988</v>
      </c>
    </row>
    <row r="898" spans="1:12" x14ac:dyDescent="0.35">
      <c r="A898" t="s">
        <v>3056</v>
      </c>
      <c r="B898" s="1">
        <v>46033</v>
      </c>
      <c r="C898" t="s">
        <v>52</v>
      </c>
      <c r="D898" t="s">
        <v>36</v>
      </c>
      <c r="E898" t="s">
        <v>24</v>
      </c>
      <c r="F898" t="s">
        <v>79</v>
      </c>
      <c r="G898">
        <v>404204.26</v>
      </c>
      <c r="H898">
        <v>217579.83</v>
      </c>
      <c r="I898" t="s">
        <v>18</v>
      </c>
      <c r="J898" t="s">
        <v>41</v>
      </c>
      <c r="K898">
        <v>186624.43000000002</v>
      </c>
      <c r="L898">
        <v>0.46170822148188151</v>
      </c>
    </row>
    <row r="899" spans="1:12" x14ac:dyDescent="0.35">
      <c r="A899" t="s">
        <v>3059</v>
      </c>
      <c r="B899" s="1">
        <v>46125</v>
      </c>
      <c r="C899" t="s">
        <v>52</v>
      </c>
      <c r="D899" t="s">
        <v>53</v>
      </c>
      <c r="E899" t="s">
        <v>37</v>
      </c>
      <c r="F899" t="s">
        <v>74</v>
      </c>
      <c r="G899">
        <v>233516.42</v>
      </c>
      <c r="H899">
        <v>141580.84</v>
      </c>
      <c r="I899" t="s">
        <v>18</v>
      </c>
      <c r="J899" t="s">
        <v>19</v>
      </c>
      <c r="K899">
        <v>91935.580000000016</v>
      </c>
      <c r="L899">
        <v>0.39370070849835748</v>
      </c>
    </row>
    <row r="900" spans="1:12" x14ac:dyDescent="0.35">
      <c r="A900" t="s">
        <v>3063</v>
      </c>
      <c r="B900" s="1">
        <v>46138</v>
      </c>
      <c r="C900" t="s">
        <v>12</v>
      </c>
      <c r="D900" t="s">
        <v>23</v>
      </c>
      <c r="E900" t="s">
        <v>24</v>
      </c>
      <c r="F900" t="s">
        <v>46</v>
      </c>
      <c r="G900">
        <v>202640.32</v>
      </c>
      <c r="H900">
        <v>188303.89</v>
      </c>
      <c r="I900" t="s">
        <v>49</v>
      </c>
      <c r="J900" t="s">
        <v>41</v>
      </c>
      <c r="K900">
        <v>14336.429999999993</v>
      </c>
      <c r="L900">
        <v>7.0748161076729418E-2</v>
      </c>
    </row>
    <row r="901" spans="1:12" x14ac:dyDescent="0.35">
      <c r="A901" t="s">
        <v>3066</v>
      </c>
      <c r="B901" s="1">
        <v>46166</v>
      </c>
      <c r="C901" t="s">
        <v>12</v>
      </c>
      <c r="D901" t="s">
        <v>23</v>
      </c>
      <c r="E901" t="s">
        <v>134</v>
      </c>
      <c r="F901" t="s">
        <v>74</v>
      </c>
      <c r="G901">
        <v>92863.58</v>
      </c>
      <c r="H901">
        <v>73785.02</v>
      </c>
      <c r="I901" t="s">
        <v>32</v>
      </c>
      <c r="J901" t="s">
        <v>19</v>
      </c>
      <c r="K901">
        <v>19078.559999999998</v>
      </c>
      <c r="L901">
        <v>0.20544717315442715</v>
      </c>
    </row>
    <row r="902" spans="1:12" x14ac:dyDescent="0.35">
      <c r="A902" t="s">
        <v>3069</v>
      </c>
      <c r="B902" s="1">
        <v>46108</v>
      </c>
      <c r="C902" t="s">
        <v>12</v>
      </c>
      <c r="D902" t="s">
        <v>23</v>
      </c>
      <c r="E902" t="s">
        <v>134</v>
      </c>
      <c r="F902" t="s">
        <v>25</v>
      </c>
      <c r="G902">
        <v>215417.17</v>
      </c>
      <c r="H902">
        <v>122766.27</v>
      </c>
      <c r="I902" t="s">
        <v>18</v>
      </c>
      <c r="J902" t="s">
        <v>41</v>
      </c>
      <c r="K902">
        <v>92650.900000000009</v>
      </c>
      <c r="L902">
        <v>0.43009988479562705</v>
      </c>
    </row>
    <row r="903" spans="1:12" x14ac:dyDescent="0.35">
      <c r="A903" t="s">
        <v>3072</v>
      </c>
      <c r="B903" s="1">
        <v>46035</v>
      </c>
      <c r="C903" t="s">
        <v>3383</v>
      </c>
      <c r="D903" t="s">
        <v>36</v>
      </c>
      <c r="E903" t="s">
        <v>45</v>
      </c>
      <c r="F903" t="s">
        <v>46</v>
      </c>
      <c r="G903">
        <v>55381.43</v>
      </c>
      <c r="H903">
        <v>29978.52</v>
      </c>
      <c r="I903" t="s">
        <v>49</v>
      </c>
      <c r="J903" t="s">
        <v>41</v>
      </c>
      <c r="K903">
        <v>25402.91</v>
      </c>
      <c r="L903">
        <v>0.45869003382541768</v>
      </c>
    </row>
    <row r="904" spans="1:12" x14ac:dyDescent="0.35">
      <c r="A904" t="s">
        <v>3075</v>
      </c>
      <c r="B904" s="1">
        <v>46177</v>
      </c>
      <c r="C904" t="s">
        <v>99</v>
      </c>
      <c r="D904" t="s">
        <v>36</v>
      </c>
      <c r="E904" t="s">
        <v>45</v>
      </c>
      <c r="F904" t="s">
        <v>25</v>
      </c>
      <c r="G904">
        <v>341677.83</v>
      </c>
      <c r="H904">
        <v>313253.83</v>
      </c>
      <c r="I904" t="s">
        <v>49</v>
      </c>
      <c r="J904" t="s">
        <v>19</v>
      </c>
      <c r="K904">
        <v>28424</v>
      </c>
      <c r="L904">
        <v>8.3189477057964215E-2</v>
      </c>
    </row>
    <row r="905" spans="1:12" x14ac:dyDescent="0.35">
      <c r="A905" t="s">
        <v>3078</v>
      </c>
      <c r="B905" s="1">
        <v>46198</v>
      </c>
      <c r="C905" t="s">
        <v>67</v>
      </c>
      <c r="D905" t="s">
        <v>23</v>
      </c>
      <c r="E905" t="s">
        <v>37</v>
      </c>
      <c r="F905" t="s">
        <v>79</v>
      </c>
      <c r="G905">
        <v>241362.13</v>
      </c>
      <c r="H905">
        <v>175167.11</v>
      </c>
      <c r="I905" t="s">
        <v>32</v>
      </c>
      <c r="J905" t="s">
        <v>19</v>
      </c>
      <c r="K905">
        <v>66195.020000000019</v>
      </c>
      <c r="L905">
        <v>0.27425603179753183</v>
      </c>
    </row>
    <row r="906" spans="1:12" x14ac:dyDescent="0.35">
      <c r="A906" t="s">
        <v>3081</v>
      </c>
      <c r="B906" s="1">
        <v>46170</v>
      </c>
      <c r="C906" t="s">
        <v>52</v>
      </c>
      <c r="D906" t="s">
        <v>23</v>
      </c>
      <c r="E906" t="s">
        <v>24</v>
      </c>
      <c r="F906" t="s">
        <v>74</v>
      </c>
      <c r="G906">
        <v>418917.43</v>
      </c>
      <c r="H906">
        <v>243350.8</v>
      </c>
      <c r="I906" t="s">
        <v>49</v>
      </c>
      <c r="J906" t="s">
        <v>19</v>
      </c>
      <c r="K906">
        <v>175566.63</v>
      </c>
      <c r="L906">
        <v>0.41909602567742288</v>
      </c>
    </row>
    <row r="907" spans="1:12" x14ac:dyDescent="0.35">
      <c r="A907" t="s">
        <v>3084</v>
      </c>
      <c r="B907" s="1">
        <v>46107</v>
      </c>
      <c r="C907" t="s">
        <v>12</v>
      </c>
      <c r="D907" t="s">
        <v>36</v>
      </c>
      <c r="E907" t="s">
        <v>134</v>
      </c>
      <c r="F907" t="s">
        <v>74</v>
      </c>
      <c r="G907">
        <v>230069.67</v>
      </c>
      <c r="H907">
        <v>183689.84</v>
      </c>
      <c r="I907" t="s">
        <v>49</v>
      </c>
      <c r="J907" t="s">
        <v>41</v>
      </c>
      <c r="K907">
        <v>46379.830000000016</v>
      </c>
      <c r="L907">
        <v>0.20159037042996591</v>
      </c>
    </row>
    <row r="908" spans="1:12" x14ac:dyDescent="0.35">
      <c r="A908" t="s">
        <v>3087</v>
      </c>
      <c r="B908" s="1">
        <v>46036</v>
      </c>
      <c r="C908" t="s">
        <v>99</v>
      </c>
      <c r="D908" t="s">
        <v>23</v>
      </c>
      <c r="E908" t="s">
        <v>14</v>
      </c>
      <c r="F908" t="s">
        <v>25</v>
      </c>
      <c r="G908">
        <v>98159.42</v>
      </c>
      <c r="H908">
        <v>61058.93</v>
      </c>
      <c r="I908" t="s">
        <v>49</v>
      </c>
      <c r="J908" t="s">
        <v>41</v>
      </c>
      <c r="K908">
        <v>37100.49</v>
      </c>
      <c r="L908">
        <v>0.37796158534759067</v>
      </c>
    </row>
    <row r="909" spans="1:12" x14ac:dyDescent="0.35">
      <c r="A909" t="s">
        <v>3090</v>
      </c>
      <c r="B909" s="1">
        <v>46139</v>
      </c>
      <c r="C909" t="s">
        <v>3383</v>
      </c>
      <c r="D909" t="s">
        <v>53</v>
      </c>
      <c r="E909" t="s">
        <v>45</v>
      </c>
      <c r="F909" t="s">
        <v>25</v>
      </c>
      <c r="G909">
        <v>88323.07</v>
      </c>
      <c r="H909">
        <v>74842.77</v>
      </c>
      <c r="I909" t="s">
        <v>49</v>
      </c>
      <c r="J909" t="s">
        <v>41</v>
      </c>
      <c r="K909">
        <v>13480.300000000003</v>
      </c>
      <c r="L909">
        <v>0.15262490309723159</v>
      </c>
    </row>
    <row r="910" spans="1:12" x14ac:dyDescent="0.35">
      <c r="A910" t="s">
        <v>3093</v>
      </c>
      <c r="B910" s="1">
        <v>46194</v>
      </c>
      <c r="C910" t="s">
        <v>52</v>
      </c>
      <c r="D910" t="s">
        <v>36</v>
      </c>
      <c r="E910" t="s">
        <v>14</v>
      </c>
      <c r="F910" t="s">
        <v>46</v>
      </c>
      <c r="G910">
        <v>447613.08</v>
      </c>
      <c r="H910">
        <v>404632.93</v>
      </c>
      <c r="I910" t="s">
        <v>18</v>
      </c>
      <c r="J910" t="s">
        <v>19</v>
      </c>
      <c r="K910">
        <v>42980.150000000023</v>
      </c>
      <c r="L910">
        <v>9.6020764183209345E-2</v>
      </c>
    </row>
    <row r="911" spans="1:12" x14ac:dyDescent="0.35">
      <c r="A911" t="s">
        <v>3096</v>
      </c>
      <c r="B911" s="1">
        <v>46041</v>
      </c>
      <c r="C911" t="s">
        <v>12</v>
      </c>
      <c r="D911" t="s">
        <v>53</v>
      </c>
      <c r="E911" t="s">
        <v>134</v>
      </c>
      <c r="F911" t="s">
        <v>15</v>
      </c>
      <c r="G911">
        <v>100445.72</v>
      </c>
      <c r="H911">
        <v>89620.36</v>
      </c>
      <c r="I911" t="s">
        <v>32</v>
      </c>
      <c r="J911" t="s">
        <v>19</v>
      </c>
      <c r="K911">
        <v>10825.36</v>
      </c>
      <c r="L911">
        <v>0.10777323314522511</v>
      </c>
    </row>
    <row r="912" spans="1:12" x14ac:dyDescent="0.35">
      <c r="A912" t="s">
        <v>3099</v>
      </c>
      <c r="B912" s="1">
        <v>46188</v>
      </c>
      <c r="C912" t="s">
        <v>52</v>
      </c>
      <c r="D912" t="s">
        <v>36</v>
      </c>
      <c r="E912" t="s">
        <v>14</v>
      </c>
      <c r="F912" t="s">
        <v>74</v>
      </c>
      <c r="G912">
        <v>198165.12</v>
      </c>
      <c r="H912">
        <v>177111.62</v>
      </c>
      <c r="I912" t="s">
        <v>18</v>
      </c>
      <c r="J912" t="s">
        <v>41</v>
      </c>
      <c r="K912">
        <v>21053.5</v>
      </c>
      <c r="L912">
        <v>0.10624220851782594</v>
      </c>
    </row>
    <row r="913" spans="1:12" x14ac:dyDescent="0.35">
      <c r="A913" t="s">
        <v>3102</v>
      </c>
      <c r="B913" s="1">
        <v>46110</v>
      </c>
      <c r="C913" t="s">
        <v>12</v>
      </c>
      <c r="D913" t="s">
        <v>53</v>
      </c>
      <c r="E913" t="s">
        <v>14</v>
      </c>
      <c r="F913" t="s">
        <v>46</v>
      </c>
      <c r="G913">
        <v>242380.63</v>
      </c>
      <c r="H913">
        <v>129617.75</v>
      </c>
      <c r="I913" t="s">
        <v>32</v>
      </c>
      <c r="J913" t="s">
        <v>41</v>
      </c>
      <c r="K913">
        <v>112762.88</v>
      </c>
      <c r="L913">
        <v>0.46523057556208186</v>
      </c>
    </row>
    <row r="914" spans="1:12" x14ac:dyDescent="0.35">
      <c r="A914" t="s">
        <v>3106</v>
      </c>
      <c r="B914" s="1">
        <v>46130</v>
      </c>
      <c r="C914" t="s">
        <v>12</v>
      </c>
      <c r="D914" t="s">
        <v>36</v>
      </c>
      <c r="E914" t="s">
        <v>134</v>
      </c>
      <c r="F914" t="s">
        <v>38</v>
      </c>
      <c r="G914">
        <v>92389.02</v>
      </c>
      <c r="H914">
        <v>46625.18</v>
      </c>
      <c r="I914" t="s">
        <v>49</v>
      </c>
      <c r="J914" t="s">
        <v>19</v>
      </c>
      <c r="K914">
        <v>45763.840000000004</v>
      </c>
      <c r="L914">
        <v>0.49533851533439799</v>
      </c>
    </row>
    <row r="915" spans="1:12" x14ac:dyDescent="0.35">
      <c r="A915" t="s">
        <v>3109</v>
      </c>
      <c r="B915" s="1">
        <v>46053</v>
      </c>
      <c r="C915" t="s">
        <v>12</v>
      </c>
      <c r="D915" t="s">
        <v>23</v>
      </c>
      <c r="E915" t="s">
        <v>37</v>
      </c>
      <c r="F915" t="s">
        <v>38</v>
      </c>
      <c r="G915">
        <v>172775.81</v>
      </c>
      <c r="H915">
        <v>118659.94</v>
      </c>
      <c r="I915" t="s">
        <v>18</v>
      </c>
      <c r="J915" t="s">
        <v>41</v>
      </c>
      <c r="K915">
        <v>54115.869999999995</v>
      </c>
      <c r="L915">
        <v>0.31321439037096682</v>
      </c>
    </row>
    <row r="916" spans="1:12" x14ac:dyDescent="0.35">
      <c r="A916" t="s">
        <v>3112</v>
      </c>
      <c r="B916" s="1">
        <v>46151</v>
      </c>
      <c r="C916" t="s">
        <v>52</v>
      </c>
      <c r="D916" t="s">
        <v>53</v>
      </c>
      <c r="E916" t="s">
        <v>45</v>
      </c>
      <c r="F916" t="s">
        <v>38</v>
      </c>
      <c r="G916">
        <v>225301.95</v>
      </c>
      <c r="H916">
        <v>98677.19</v>
      </c>
      <c r="I916" t="s">
        <v>32</v>
      </c>
      <c r="J916" t="s">
        <v>41</v>
      </c>
      <c r="K916">
        <v>126624.76000000001</v>
      </c>
      <c r="L916">
        <v>0.56202247694704821</v>
      </c>
    </row>
    <row r="917" spans="1:12" x14ac:dyDescent="0.35">
      <c r="A917" t="s">
        <v>3115</v>
      </c>
      <c r="B917" s="1">
        <v>46065</v>
      </c>
      <c r="C917" t="s">
        <v>52</v>
      </c>
      <c r="D917" t="s">
        <v>53</v>
      </c>
      <c r="E917" t="s">
        <v>134</v>
      </c>
      <c r="F917" t="s">
        <v>74</v>
      </c>
      <c r="G917">
        <v>169599.3</v>
      </c>
      <c r="H917">
        <v>125961.16</v>
      </c>
      <c r="I917" t="s">
        <v>18</v>
      </c>
      <c r="J917" t="s">
        <v>19</v>
      </c>
      <c r="K917">
        <v>43638.139999999985</v>
      </c>
      <c r="L917">
        <v>0.25730141574876775</v>
      </c>
    </row>
    <row r="918" spans="1:12" x14ac:dyDescent="0.35">
      <c r="A918" t="s">
        <v>3118</v>
      </c>
      <c r="B918" s="1">
        <v>46067</v>
      </c>
      <c r="C918" t="s">
        <v>3383</v>
      </c>
      <c r="D918" t="s">
        <v>23</v>
      </c>
      <c r="E918" t="s">
        <v>45</v>
      </c>
      <c r="F918" t="s">
        <v>15</v>
      </c>
      <c r="G918">
        <v>449982.22</v>
      </c>
      <c r="H918">
        <v>219560.63</v>
      </c>
      <c r="I918" t="s">
        <v>18</v>
      </c>
      <c r="J918" t="s">
        <v>41</v>
      </c>
      <c r="K918">
        <v>230421.58999999997</v>
      </c>
      <c r="L918">
        <v>0.51206821016172588</v>
      </c>
    </row>
    <row r="919" spans="1:12" x14ac:dyDescent="0.35">
      <c r="A919" t="s">
        <v>3121</v>
      </c>
      <c r="B919" s="1">
        <v>46200</v>
      </c>
      <c r="C919" t="s">
        <v>67</v>
      </c>
      <c r="D919" t="s">
        <v>53</v>
      </c>
      <c r="E919" t="s">
        <v>109</v>
      </c>
      <c r="F919" t="s">
        <v>79</v>
      </c>
      <c r="G919">
        <v>490314.4</v>
      </c>
      <c r="H919">
        <v>353621.94</v>
      </c>
      <c r="I919" t="s">
        <v>18</v>
      </c>
      <c r="J919" t="s">
        <v>41</v>
      </c>
      <c r="K919">
        <v>136692.46000000002</v>
      </c>
      <c r="L919">
        <v>0.2787853263130759</v>
      </c>
    </row>
    <row r="920" spans="1:12" x14ac:dyDescent="0.35">
      <c r="A920" t="s">
        <v>3124</v>
      </c>
      <c r="B920" s="1">
        <v>46028</v>
      </c>
      <c r="C920" t="s">
        <v>52</v>
      </c>
      <c r="D920" t="s">
        <v>23</v>
      </c>
      <c r="E920" t="s">
        <v>37</v>
      </c>
      <c r="F920" t="s">
        <v>74</v>
      </c>
      <c r="G920">
        <v>330078.25</v>
      </c>
      <c r="H920">
        <v>165875.07</v>
      </c>
      <c r="I920" t="s">
        <v>18</v>
      </c>
      <c r="J920" t="s">
        <v>41</v>
      </c>
      <c r="K920">
        <v>164203.18</v>
      </c>
      <c r="L920">
        <v>0.49746743385848657</v>
      </c>
    </row>
    <row r="921" spans="1:12" x14ac:dyDescent="0.35">
      <c r="A921" t="s">
        <v>3127</v>
      </c>
      <c r="B921" s="1">
        <v>46123</v>
      </c>
      <c r="C921" t="s">
        <v>12</v>
      </c>
      <c r="D921" t="s">
        <v>23</v>
      </c>
      <c r="E921" t="s">
        <v>24</v>
      </c>
      <c r="F921" t="s">
        <v>15</v>
      </c>
      <c r="G921">
        <v>77166.94</v>
      </c>
      <c r="H921">
        <v>56912.05</v>
      </c>
      <c r="I921" t="s">
        <v>49</v>
      </c>
      <c r="J921" t="s">
        <v>19</v>
      </c>
      <c r="K921">
        <v>20254.89</v>
      </c>
      <c r="L921">
        <v>0.26248144607003981</v>
      </c>
    </row>
    <row r="922" spans="1:12" x14ac:dyDescent="0.35">
      <c r="A922" t="s">
        <v>3130</v>
      </c>
      <c r="B922" s="1">
        <v>46186</v>
      </c>
      <c r="C922" t="s">
        <v>99</v>
      </c>
      <c r="D922" t="s">
        <v>23</v>
      </c>
      <c r="E922" t="s">
        <v>37</v>
      </c>
      <c r="F922" t="s">
        <v>46</v>
      </c>
      <c r="G922">
        <v>135469.19</v>
      </c>
      <c r="H922">
        <v>97888.02</v>
      </c>
      <c r="I922" t="s">
        <v>32</v>
      </c>
      <c r="J922" t="s">
        <v>41</v>
      </c>
      <c r="K922">
        <v>37581.17</v>
      </c>
      <c r="L922">
        <v>0.27741488673550052</v>
      </c>
    </row>
    <row r="923" spans="1:12" x14ac:dyDescent="0.35">
      <c r="A923" t="s">
        <v>3133</v>
      </c>
      <c r="B923" s="1">
        <v>46051</v>
      </c>
      <c r="C923" t="s">
        <v>3383</v>
      </c>
      <c r="D923" t="s">
        <v>23</v>
      </c>
      <c r="E923" t="s">
        <v>134</v>
      </c>
      <c r="F923" t="s">
        <v>46</v>
      </c>
      <c r="G923">
        <v>317164.58</v>
      </c>
      <c r="H923">
        <v>140902.07999999999</v>
      </c>
      <c r="I923" t="s">
        <v>18</v>
      </c>
      <c r="J923" t="s">
        <v>41</v>
      </c>
      <c r="K923">
        <v>176262.50000000003</v>
      </c>
      <c r="L923">
        <v>0.55574459165648327</v>
      </c>
    </row>
    <row r="924" spans="1:12" x14ac:dyDescent="0.35">
      <c r="A924" t="s">
        <v>3136</v>
      </c>
      <c r="B924" s="1">
        <v>46101</v>
      </c>
      <c r="C924" t="s">
        <v>52</v>
      </c>
      <c r="D924" t="s">
        <v>53</v>
      </c>
      <c r="E924" t="s">
        <v>37</v>
      </c>
      <c r="F924" t="s">
        <v>38</v>
      </c>
      <c r="G924">
        <v>451794.41</v>
      </c>
      <c r="H924">
        <v>189026.72</v>
      </c>
      <c r="I924" t="s">
        <v>32</v>
      </c>
      <c r="J924" t="s">
        <v>41</v>
      </c>
      <c r="K924">
        <v>262767.68999999994</v>
      </c>
      <c r="L924">
        <v>0.58160898892042501</v>
      </c>
    </row>
    <row r="925" spans="1:12" x14ac:dyDescent="0.35">
      <c r="A925" t="s">
        <v>3139</v>
      </c>
      <c r="B925" s="1">
        <v>46095</v>
      </c>
      <c r="C925" t="s">
        <v>99</v>
      </c>
      <c r="D925" t="s">
        <v>36</v>
      </c>
      <c r="E925" t="s">
        <v>134</v>
      </c>
      <c r="F925" t="s">
        <v>46</v>
      </c>
      <c r="G925">
        <v>472596.67</v>
      </c>
      <c r="H925">
        <v>341951.83</v>
      </c>
      <c r="I925" t="s">
        <v>18</v>
      </c>
      <c r="J925" t="s">
        <v>41</v>
      </c>
      <c r="K925">
        <v>130644.83999999997</v>
      </c>
      <c r="L925">
        <v>0.27644045820297458</v>
      </c>
    </row>
    <row r="926" spans="1:12" x14ac:dyDescent="0.35">
      <c r="A926" t="s">
        <v>3142</v>
      </c>
      <c r="B926" s="1">
        <v>46070</v>
      </c>
      <c r="C926" t="s">
        <v>12</v>
      </c>
      <c r="D926" t="s">
        <v>53</v>
      </c>
      <c r="E926" t="s">
        <v>37</v>
      </c>
      <c r="F926" t="s">
        <v>25</v>
      </c>
      <c r="G926">
        <v>271782.71999999997</v>
      </c>
      <c r="H926">
        <v>168812.97</v>
      </c>
      <c r="I926" t="s">
        <v>18</v>
      </c>
      <c r="J926" t="s">
        <v>41</v>
      </c>
      <c r="K926">
        <v>102969.74999999997</v>
      </c>
      <c r="L926">
        <v>0.37886790595075354</v>
      </c>
    </row>
    <row r="927" spans="1:12" x14ac:dyDescent="0.35">
      <c r="A927" t="s">
        <v>3146</v>
      </c>
      <c r="B927" s="1">
        <v>46028</v>
      </c>
      <c r="C927" t="s">
        <v>67</v>
      </c>
      <c r="D927" t="s">
        <v>36</v>
      </c>
      <c r="E927" t="s">
        <v>14</v>
      </c>
      <c r="F927" t="s">
        <v>38</v>
      </c>
      <c r="G927">
        <v>142212.48000000001</v>
      </c>
      <c r="H927">
        <v>111995.48</v>
      </c>
      <c r="I927" t="s">
        <v>18</v>
      </c>
      <c r="J927" t="s">
        <v>19</v>
      </c>
      <c r="K927">
        <v>30217.000000000015</v>
      </c>
      <c r="L927">
        <v>0.21247783598176484</v>
      </c>
    </row>
    <row r="928" spans="1:12" x14ac:dyDescent="0.35">
      <c r="A928" t="s">
        <v>3149</v>
      </c>
      <c r="B928" s="1">
        <v>46027</v>
      </c>
      <c r="C928" t="s">
        <v>12</v>
      </c>
      <c r="D928" t="s">
        <v>23</v>
      </c>
      <c r="E928" t="s">
        <v>37</v>
      </c>
      <c r="F928" t="s">
        <v>79</v>
      </c>
      <c r="G928">
        <v>337754.85</v>
      </c>
      <c r="H928">
        <v>232321.58</v>
      </c>
      <c r="I928" t="s">
        <v>49</v>
      </c>
      <c r="J928" t="s">
        <v>41</v>
      </c>
      <c r="K928">
        <v>105433.26999999999</v>
      </c>
      <c r="L928">
        <v>0.31215915922450854</v>
      </c>
    </row>
    <row r="929" spans="1:12" x14ac:dyDescent="0.35">
      <c r="A929" t="s">
        <v>3152</v>
      </c>
      <c r="B929" s="1">
        <v>46162</v>
      </c>
      <c r="C929" t="s">
        <v>12</v>
      </c>
      <c r="D929" t="s">
        <v>36</v>
      </c>
      <c r="E929" t="s">
        <v>109</v>
      </c>
      <c r="F929" t="s">
        <v>15</v>
      </c>
      <c r="G929">
        <v>469618.03</v>
      </c>
      <c r="H929">
        <v>230109.28</v>
      </c>
      <c r="I929" t="s">
        <v>18</v>
      </c>
      <c r="J929" t="s">
        <v>19</v>
      </c>
      <c r="K929">
        <v>239508.75000000003</v>
      </c>
      <c r="L929">
        <v>0.51000756934311064</v>
      </c>
    </row>
    <row r="930" spans="1:12" x14ac:dyDescent="0.35">
      <c r="A930" t="s">
        <v>3155</v>
      </c>
      <c r="B930" s="1">
        <v>46101</v>
      </c>
      <c r="C930" t="s">
        <v>3383</v>
      </c>
      <c r="D930" t="s">
        <v>53</v>
      </c>
      <c r="E930" t="s">
        <v>24</v>
      </c>
      <c r="F930" t="s">
        <v>46</v>
      </c>
      <c r="G930">
        <v>211299.04</v>
      </c>
      <c r="H930">
        <v>154359.25</v>
      </c>
      <c r="I930" t="s">
        <v>32</v>
      </c>
      <c r="J930" t="s">
        <v>41</v>
      </c>
      <c r="K930">
        <v>56939.790000000008</v>
      </c>
      <c r="L930">
        <v>0.26947491100764115</v>
      </c>
    </row>
    <row r="931" spans="1:12" x14ac:dyDescent="0.35">
      <c r="A931" t="s">
        <v>3158</v>
      </c>
      <c r="B931" s="1">
        <v>46153</v>
      </c>
      <c r="C931" t="s">
        <v>12</v>
      </c>
      <c r="D931" t="s">
        <v>53</v>
      </c>
      <c r="E931" t="s">
        <v>37</v>
      </c>
      <c r="F931" t="s">
        <v>46</v>
      </c>
      <c r="G931">
        <v>53497.2</v>
      </c>
      <c r="H931">
        <v>29127.98</v>
      </c>
      <c r="I931" t="s">
        <v>32</v>
      </c>
      <c r="J931" t="s">
        <v>41</v>
      </c>
      <c r="K931">
        <v>24369.219999999998</v>
      </c>
      <c r="L931">
        <v>0.4555232797230509</v>
      </c>
    </row>
    <row r="932" spans="1:12" x14ac:dyDescent="0.35">
      <c r="A932" t="s">
        <v>3161</v>
      </c>
      <c r="B932" s="1">
        <v>46143</v>
      </c>
      <c r="C932" t="s">
        <v>12</v>
      </c>
      <c r="D932" t="s">
        <v>36</v>
      </c>
      <c r="E932" t="s">
        <v>134</v>
      </c>
      <c r="F932" t="s">
        <v>38</v>
      </c>
      <c r="G932">
        <v>375861.47</v>
      </c>
      <c r="H932">
        <v>174755.5</v>
      </c>
      <c r="I932" t="s">
        <v>32</v>
      </c>
      <c r="J932" t="s">
        <v>19</v>
      </c>
      <c r="K932">
        <v>201105.96999999997</v>
      </c>
      <c r="L932">
        <v>0.53505343338331535</v>
      </c>
    </row>
    <row r="933" spans="1:12" x14ac:dyDescent="0.35">
      <c r="A933" t="s">
        <v>3165</v>
      </c>
      <c r="B933" s="1">
        <v>46107</v>
      </c>
      <c r="C933" t="s">
        <v>67</v>
      </c>
      <c r="D933" t="s">
        <v>36</v>
      </c>
      <c r="E933" t="s">
        <v>37</v>
      </c>
      <c r="F933" t="s">
        <v>79</v>
      </c>
      <c r="G933">
        <v>346184.57</v>
      </c>
      <c r="H933">
        <v>309992.78999999998</v>
      </c>
      <c r="I933" t="s">
        <v>32</v>
      </c>
      <c r="J933" t="s">
        <v>19</v>
      </c>
      <c r="K933">
        <v>36191.780000000028</v>
      </c>
      <c r="L933">
        <v>0.10454475195124967</v>
      </c>
    </row>
    <row r="934" spans="1:12" x14ac:dyDescent="0.35">
      <c r="A934" t="s">
        <v>3168</v>
      </c>
      <c r="B934" s="1">
        <v>46114</v>
      </c>
      <c r="C934" t="s">
        <v>3383</v>
      </c>
      <c r="D934" t="s">
        <v>23</v>
      </c>
      <c r="E934" t="s">
        <v>45</v>
      </c>
      <c r="F934" t="s">
        <v>74</v>
      </c>
      <c r="G934">
        <v>95770.08</v>
      </c>
      <c r="H934">
        <v>50497.9</v>
      </c>
      <c r="I934" t="s">
        <v>32</v>
      </c>
      <c r="J934" t="s">
        <v>19</v>
      </c>
      <c r="K934">
        <v>45272.18</v>
      </c>
      <c r="L934">
        <v>0.47271736642592344</v>
      </c>
    </row>
    <row r="935" spans="1:12" x14ac:dyDescent="0.35">
      <c r="A935" t="s">
        <v>3171</v>
      </c>
      <c r="B935" s="1">
        <v>46158</v>
      </c>
      <c r="C935" t="s">
        <v>12</v>
      </c>
      <c r="D935" t="s">
        <v>23</v>
      </c>
      <c r="E935" t="s">
        <v>45</v>
      </c>
      <c r="F935" t="s">
        <v>79</v>
      </c>
      <c r="G935">
        <v>290143.12</v>
      </c>
      <c r="H935">
        <v>135235.76</v>
      </c>
      <c r="I935" t="s">
        <v>32</v>
      </c>
      <c r="J935" t="s">
        <v>41</v>
      </c>
      <c r="K935">
        <v>154907.35999999999</v>
      </c>
      <c r="L935">
        <v>0.53389982157770965</v>
      </c>
    </row>
    <row r="936" spans="1:12" x14ac:dyDescent="0.35">
      <c r="A936" t="s">
        <v>3174</v>
      </c>
      <c r="B936" s="1">
        <v>46159</v>
      </c>
      <c r="C936" t="s">
        <v>3383</v>
      </c>
      <c r="D936" t="s">
        <v>53</v>
      </c>
      <c r="E936" t="s">
        <v>14</v>
      </c>
      <c r="F936" t="s">
        <v>74</v>
      </c>
      <c r="G936">
        <v>211479.81</v>
      </c>
      <c r="H936">
        <v>139481.39000000001</v>
      </c>
      <c r="I936" t="s">
        <v>18</v>
      </c>
      <c r="J936" t="s">
        <v>41</v>
      </c>
      <c r="K936">
        <v>71998.419999999984</v>
      </c>
      <c r="L936">
        <v>0.34045056121433048</v>
      </c>
    </row>
    <row r="937" spans="1:12" x14ac:dyDescent="0.35">
      <c r="A937" t="s">
        <v>3177</v>
      </c>
      <c r="B937" s="1">
        <v>46047</v>
      </c>
      <c r="C937" t="s">
        <v>12</v>
      </c>
      <c r="D937" t="s">
        <v>23</v>
      </c>
      <c r="E937" t="s">
        <v>14</v>
      </c>
      <c r="F937" t="s">
        <v>25</v>
      </c>
      <c r="G937">
        <v>252922.1</v>
      </c>
      <c r="H937">
        <v>105450.7</v>
      </c>
      <c r="I937" t="s">
        <v>32</v>
      </c>
      <c r="J937" t="s">
        <v>19</v>
      </c>
      <c r="K937">
        <v>147471.40000000002</v>
      </c>
      <c r="L937">
        <v>0.58307043947523773</v>
      </c>
    </row>
    <row r="938" spans="1:12" x14ac:dyDescent="0.35">
      <c r="A938" t="s">
        <v>3180</v>
      </c>
      <c r="B938" s="1">
        <v>46066</v>
      </c>
      <c r="C938" t="s">
        <v>12</v>
      </c>
      <c r="D938" t="s">
        <v>53</v>
      </c>
      <c r="E938" t="s">
        <v>37</v>
      </c>
      <c r="F938" t="s">
        <v>79</v>
      </c>
      <c r="G938">
        <v>153264</v>
      </c>
      <c r="H938">
        <v>64258.83</v>
      </c>
      <c r="I938" t="s">
        <v>49</v>
      </c>
      <c r="J938" t="s">
        <v>41</v>
      </c>
      <c r="K938">
        <v>89005.17</v>
      </c>
      <c r="L938">
        <v>0.58073109145004698</v>
      </c>
    </row>
    <row r="939" spans="1:12" x14ac:dyDescent="0.35">
      <c r="A939" t="s">
        <v>3183</v>
      </c>
      <c r="B939" s="1">
        <v>46199</v>
      </c>
      <c r="C939" t="s">
        <v>67</v>
      </c>
      <c r="D939" t="s">
        <v>36</v>
      </c>
      <c r="E939" t="s">
        <v>134</v>
      </c>
      <c r="F939" t="s">
        <v>38</v>
      </c>
      <c r="G939">
        <v>456475.18</v>
      </c>
      <c r="H939">
        <v>320323.67</v>
      </c>
      <c r="I939" t="s">
        <v>32</v>
      </c>
      <c r="J939" t="s">
        <v>41</v>
      </c>
      <c r="K939">
        <v>136151.51</v>
      </c>
      <c r="L939">
        <v>0.29826706021562882</v>
      </c>
    </row>
    <row r="940" spans="1:12" x14ac:dyDescent="0.35">
      <c r="A940" t="s">
        <v>3186</v>
      </c>
      <c r="B940" s="1">
        <v>46166</v>
      </c>
      <c r="C940" t="s">
        <v>67</v>
      </c>
      <c r="D940" t="s">
        <v>23</v>
      </c>
      <c r="E940" t="s">
        <v>14</v>
      </c>
      <c r="F940" t="s">
        <v>79</v>
      </c>
      <c r="G940">
        <v>369924.41</v>
      </c>
      <c r="H940">
        <v>278356.52</v>
      </c>
      <c r="I940" t="s">
        <v>32</v>
      </c>
      <c r="J940" t="s">
        <v>41</v>
      </c>
      <c r="K940">
        <v>91567.889999999956</v>
      </c>
      <c r="L940">
        <v>0.24753135377035532</v>
      </c>
    </row>
    <row r="941" spans="1:12" x14ac:dyDescent="0.35">
      <c r="A941" t="s">
        <v>3189</v>
      </c>
      <c r="B941" s="1">
        <v>46097</v>
      </c>
      <c r="C941" t="s">
        <v>67</v>
      </c>
      <c r="D941" t="s">
        <v>23</v>
      </c>
      <c r="E941" t="s">
        <v>109</v>
      </c>
      <c r="F941" t="s">
        <v>25</v>
      </c>
      <c r="G941">
        <v>301655.77</v>
      </c>
      <c r="H941">
        <v>191353.93</v>
      </c>
      <c r="I941" t="s">
        <v>32</v>
      </c>
      <c r="J941" t="s">
        <v>19</v>
      </c>
      <c r="K941">
        <v>110301.84000000003</v>
      </c>
      <c r="L941">
        <v>0.3656546665757463</v>
      </c>
    </row>
    <row r="942" spans="1:12" x14ac:dyDescent="0.35">
      <c r="A942" t="s">
        <v>3192</v>
      </c>
      <c r="B942" s="1">
        <v>46049</v>
      </c>
      <c r="C942" t="s">
        <v>67</v>
      </c>
      <c r="D942" t="s">
        <v>53</v>
      </c>
      <c r="E942" t="s">
        <v>109</v>
      </c>
      <c r="F942" t="s">
        <v>25</v>
      </c>
      <c r="G942">
        <v>377174.13</v>
      </c>
      <c r="H942">
        <v>341255.85</v>
      </c>
      <c r="I942" t="s">
        <v>32</v>
      </c>
      <c r="J942" t="s">
        <v>41</v>
      </c>
      <c r="K942">
        <v>35918.280000000028</v>
      </c>
      <c r="L942">
        <v>9.5229967124203424E-2</v>
      </c>
    </row>
    <row r="943" spans="1:12" x14ac:dyDescent="0.35">
      <c r="A943" t="s">
        <v>3195</v>
      </c>
      <c r="B943" s="1">
        <v>46095</v>
      </c>
      <c r="C943" t="s">
        <v>12</v>
      </c>
      <c r="D943" t="s">
        <v>53</v>
      </c>
      <c r="E943" t="s">
        <v>14</v>
      </c>
      <c r="F943" t="s">
        <v>46</v>
      </c>
      <c r="G943">
        <v>493594.58</v>
      </c>
      <c r="H943">
        <v>288612.93</v>
      </c>
      <c r="I943" t="s">
        <v>18</v>
      </c>
      <c r="J943" t="s">
        <v>41</v>
      </c>
      <c r="K943">
        <v>204981.65000000002</v>
      </c>
      <c r="L943">
        <v>0.41528342957088388</v>
      </c>
    </row>
    <row r="944" spans="1:12" x14ac:dyDescent="0.35">
      <c r="A944" t="s">
        <v>3198</v>
      </c>
      <c r="B944" s="1">
        <v>46143</v>
      </c>
      <c r="C944" t="s">
        <v>3383</v>
      </c>
      <c r="D944" t="s">
        <v>23</v>
      </c>
      <c r="E944" t="s">
        <v>134</v>
      </c>
      <c r="F944" t="s">
        <v>46</v>
      </c>
      <c r="G944">
        <v>109874.4</v>
      </c>
      <c r="H944">
        <v>73252.33</v>
      </c>
      <c r="I944" t="s">
        <v>32</v>
      </c>
      <c r="J944" t="s">
        <v>19</v>
      </c>
      <c r="K944">
        <v>36622.069999999992</v>
      </c>
      <c r="L944">
        <v>0.33330848678127017</v>
      </c>
    </row>
    <row r="945" spans="1:12" x14ac:dyDescent="0.35">
      <c r="A945" t="s">
        <v>3201</v>
      </c>
      <c r="B945" s="1">
        <v>46108</v>
      </c>
      <c r="C945" t="s">
        <v>52</v>
      </c>
      <c r="D945" t="s">
        <v>53</v>
      </c>
      <c r="E945" t="s">
        <v>109</v>
      </c>
      <c r="F945" t="s">
        <v>79</v>
      </c>
      <c r="G945">
        <v>421006.36</v>
      </c>
      <c r="H945">
        <v>176309.13</v>
      </c>
      <c r="I945" t="s">
        <v>18</v>
      </c>
      <c r="J945" t="s">
        <v>19</v>
      </c>
      <c r="K945">
        <v>244697.22999999998</v>
      </c>
      <c r="L945">
        <v>0.58121979439930549</v>
      </c>
    </row>
    <row r="946" spans="1:12" x14ac:dyDescent="0.35">
      <c r="A946" t="s">
        <v>3204</v>
      </c>
      <c r="B946" s="1">
        <v>46164</v>
      </c>
      <c r="C946" t="s">
        <v>52</v>
      </c>
      <c r="D946" t="s">
        <v>23</v>
      </c>
      <c r="E946" t="s">
        <v>14</v>
      </c>
      <c r="F946" t="s">
        <v>79</v>
      </c>
      <c r="G946">
        <v>471099.89</v>
      </c>
      <c r="H946">
        <v>298839.78999999998</v>
      </c>
      <c r="I946" t="s">
        <v>18</v>
      </c>
      <c r="J946" t="s">
        <v>41</v>
      </c>
      <c r="K946">
        <v>172260.10000000003</v>
      </c>
      <c r="L946">
        <v>0.36565514799844262</v>
      </c>
    </row>
    <row r="947" spans="1:12" x14ac:dyDescent="0.35">
      <c r="A947" t="s">
        <v>3208</v>
      </c>
      <c r="B947" s="1">
        <v>46080</v>
      </c>
      <c r="C947" t="s">
        <v>67</v>
      </c>
      <c r="D947" t="s">
        <v>53</v>
      </c>
      <c r="E947" t="s">
        <v>45</v>
      </c>
      <c r="F947" t="s">
        <v>25</v>
      </c>
      <c r="G947">
        <v>400417.01</v>
      </c>
      <c r="H947">
        <v>340511.55</v>
      </c>
      <c r="I947" t="s">
        <v>49</v>
      </c>
      <c r="J947" t="s">
        <v>19</v>
      </c>
      <c r="K947">
        <v>59905.460000000021</v>
      </c>
      <c r="L947">
        <v>0.14960768025314414</v>
      </c>
    </row>
    <row r="948" spans="1:12" x14ac:dyDescent="0.35">
      <c r="A948" t="s">
        <v>3212</v>
      </c>
      <c r="B948" s="1">
        <v>46049</v>
      </c>
      <c r="C948" t="s">
        <v>52</v>
      </c>
      <c r="D948" t="s">
        <v>53</v>
      </c>
      <c r="E948" t="s">
        <v>14</v>
      </c>
      <c r="F948" t="s">
        <v>74</v>
      </c>
      <c r="G948">
        <v>362559.05</v>
      </c>
      <c r="H948">
        <v>195664.24</v>
      </c>
      <c r="I948" t="s">
        <v>18</v>
      </c>
      <c r="J948" t="s">
        <v>41</v>
      </c>
      <c r="K948">
        <v>166894.81</v>
      </c>
      <c r="L948">
        <v>0.46032449058987773</v>
      </c>
    </row>
    <row r="949" spans="1:12" x14ac:dyDescent="0.35">
      <c r="A949" t="s">
        <v>3215</v>
      </c>
      <c r="B949" s="1">
        <v>46044</v>
      </c>
      <c r="C949" t="s">
        <v>12</v>
      </c>
      <c r="D949" t="s">
        <v>53</v>
      </c>
      <c r="E949" t="s">
        <v>37</v>
      </c>
      <c r="F949" t="s">
        <v>74</v>
      </c>
      <c r="G949">
        <v>434984.69</v>
      </c>
      <c r="H949">
        <v>324830.65000000002</v>
      </c>
      <c r="I949" t="s">
        <v>32</v>
      </c>
      <c r="J949" t="s">
        <v>19</v>
      </c>
      <c r="K949">
        <v>110154.03999999998</v>
      </c>
      <c r="L949">
        <v>0.25323659092461387</v>
      </c>
    </row>
    <row r="950" spans="1:12" x14ac:dyDescent="0.35">
      <c r="A950" t="s">
        <v>3218</v>
      </c>
      <c r="B950" s="1">
        <v>46152</v>
      </c>
      <c r="C950" t="s">
        <v>67</v>
      </c>
      <c r="D950" t="s">
        <v>23</v>
      </c>
      <c r="E950" t="s">
        <v>24</v>
      </c>
      <c r="F950" t="s">
        <v>25</v>
      </c>
      <c r="G950">
        <v>246317.25</v>
      </c>
      <c r="H950">
        <v>162893.42000000001</v>
      </c>
      <c r="I950" t="s">
        <v>49</v>
      </c>
      <c r="J950" t="s">
        <v>19</v>
      </c>
      <c r="K950">
        <v>83423.829999999987</v>
      </c>
      <c r="L950">
        <v>0.33868448109095073</v>
      </c>
    </row>
    <row r="951" spans="1:12" x14ac:dyDescent="0.35">
      <c r="A951" t="s">
        <v>3222</v>
      </c>
      <c r="B951" s="1">
        <v>46188</v>
      </c>
      <c r="C951" t="s">
        <v>3383</v>
      </c>
      <c r="D951" t="s">
        <v>53</v>
      </c>
      <c r="E951" t="s">
        <v>109</v>
      </c>
      <c r="F951" t="s">
        <v>38</v>
      </c>
      <c r="G951">
        <v>318111.92</v>
      </c>
      <c r="H951">
        <v>281003.48</v>
      </c>
      <c r="I951" t="s">
        <v>18</v>
      </c>
      <c r="J951" t="s">
        <v>41</v>
      </c>
      <c r="K951">
        <v>37108.44</v>
      </c>
      <c r="L951">
        <v>0.11665215185900611</v>
      </c>
    </row>
    <row r="952" spans="1:12" x14ac:dyDescent="0.35">
      <c r="A952" t="s">
        <v>3225</v>
      </c>
      <c r="B952" s="1">
        <v>46132</v>
      </c>
      <c r="C952" t="s">
        <v>12</v>
      </c>
      <c r="D952" t="s">
        <v>53</v>
      </c>
      <c r="E952" t="s">
        <v>37</v>
      </c>
      <c r="F952" t="s">
        <v>46</v>
      </c>
      <c r="G952">
        <v>470403.31</v>
      </c>
      <c r="H952">
        <v>279458.96999999997</v>
      </c>
      <c r="I952" t="s">
        <v>49</v>
      </c>
      <c r="J952" t="s">
        <v>19</v>
      </c>
      <c r="K952">
        <v>190944.34000000003</v>
      </c>
      <c r="L952">
        <v>0.40591623388024212</v>
      </c>
    </row>
    <row r="953" spans="1:12" x14ac:dyDescent="0.35">
      <c r="A953" t="s">
        <v>3228</v>
      </c>
      <c r="B953" s="1">
        <v>46077</v>
      </c>
      <c r="C953" t="s">
        <v>67</v>
      </c>
      <c r="D953" t="s">
        <v>36</v>
      </c>
      <c r="E953" t="s">
        <v>134</v>
      </c>
      <c r="F953" t="s">
        <v>74</v>
      </c>
      <c r="G953">
        <v>392227.93</v>
      </c>
      <c r="H953">
        <v>262444.06</v>
      </c>
      <c r="I953" t="s">
        <v>18</v>
      </c>
      <c r="J953" t="s">
        <v>41</v>
      </c>
      <c r="K953">
        <v>129783.87</v>
      </c>
      <c r="L953">
        <v>0.33088890431642642</v>
      </c>
    </row>
    <row r="954" spans="1:12" x14ac:dyDescent="0.35">
      <c r="A954" t="s">
        <v>3231</v>
      </c>
      <c r="B954" s="1">
        <v>46178</v>
      </c>
      <c r="C954" t="s">
        <v>52</v>
      </c>
      <c r="D954" t="s">
        <v>53</v>
      </c>
      <c r="E954" t="s">
        <v>37</v>
      </c>
      <c r="F954" t="s">
        <v>79</v>
      </c>
      <c r="G954">
        <v>195727.63</v>
      </c>
      <c r="H954">
        <v>92524.98</v>
      </c>
      <c r="I954" t="s">
        <v>18</v>
      </c>
      <c r="J954" t="s">
        <v>41</v>
      </c>
      <c r="K954">
        <v>103202.65000000001</v>
      </c>
      <c r="L954">
        <v>0.52727685917414935</v>
      </c>
    </row>
    <row r="955" spans="1:12" x14ac:dyDescent="0.35">
      <c r="A955" t="s">
        <v>3235</v>
      </c>
      <c r="B955" s="1">
        <v>46161</v>
      </c>
      <c r="C955" t="s">
        <v>12</v>
      </c>
      <c r="D955" t="s">
        <v>36</v>
      </c>
      <c r="E955" t="s">
        <v>14</v>
      </c>
      <c r="F955" t="s">
        <v>46</v>
      </c>
      <c r="G955">
        <v>399415.05</v>
      </c>
      <c r="H955">
        <v>227756.83</v>
      </c>
      <c r="I955" t="s">
        <v>18</v>
      </c>
      <c r="J955" t="s">
        <v>41</v>
      </c>
      <c r="K955">
        <v>171658.22</v>
      </c>
      <c r="L955">
        <v>0.42977404081293386</v>
      </c>
    </row>
    <row r="956" spans="1:12" x14ac:dyDescent="0.35">
      <c r="A956" t="s">
        <v>3238</v>
      </c>
      <c r="B956" s="1">
        <v>46031</v>
      </c>
      <c r="C956" t="s">
        <v>12</v>
      </c>
      <c r="D956" t="s">
        <v>23</v>
      </c>
      <c r="E956" t="s">
        <v>109</v>
      </c>
      <c r="F956" t="s">
        <v>25</v>
      </c>
      <c r="G956">
        <v>184913.98</v>
      </c>
      <c r="H956">
        <v>110993.97</v>
      </c>
      <c r="I956" t="s">
        <v>49</v>
      </c>
      <c r="J956" t="s">
        <v>19</v>
      </c>
      <c r="K956">
        <v>73920.010000000009</v>
      </c>
      <c r="L956">
        <v>0.39975349619320294</v>
      </c>
    </row>
    <row r="957" spans="1:12" x14ac:dyDescent="0.35">
      <c r="A957" t="s">
        <v>3241</v>
      </c>
      <c r="B957" s="1">
        <v>46039</v>
      </c>
      <c r="C957" t="s">
        <v>67</v>
      </c>
      <c r="D957" t="s">
        <v>53</v>
      </c>
      <c r="E957" t="s">
        <v>37</v>
      </c>
      <c r="F957" t="s">
        <v>74</v>
      </c>
      <c r="G957">
        <v>313518.15000000002</v>
      </c>
      <c r="H957">
        <v>128937.45</v>
      </c>
      <c r="I957" t="s">
        <v>32</v>
      </c>
      <c r="J957" t="s">
        <v>41</v>
      </c>
      <c r="K957">
        <v>184580.7</v>
      </c>
      <c r="L957">
        <v>0.58874007772755743</v>
      </c>
    </row>
    <row r="958" spans="1:12" x14ac:dyDescent="0.35">
      <c r="A958" t="s">
        <v>3244</v>
      </c>
      <c r="B958" s="1">
        <v>46203</v>
      </c>
      <c r="C958" t="s">
        <v>12</v>
      </c>
      <c r="D958" t="s">
        <v>36</v>
      </c>
      <c r="E958" t="s">
        <v>14</v>
      </c>
      <c r="F958" t="s">
        <v>38</v>
      </c>
      <c r="G958">
        <v>329713.08</v>
      </c>
      <c r="H958">
        <v>229891.07</v>
      </c>
      <c r="I958" t="s">
        <v>49</v>
      </c>
      <c r="J958" t="s">
        <v>41</v>
      </c>
      <c r="K958">
        <v>99822.010000000009</v>
      </c>
      <c r="L958">
        <v>0.30275417038353469</v>
      </c>
    </row>
    <row r="959" spans="1:12" x14ac:dyDescent="0.35">
      <c r="A959" t="s">
        <v>3247</v>
      </c>
      <c r="B959" s="1">
        <v>46058</v>
      </c>
      <c r="C959" t="s">
        <v>12</v>
      </c>
      <c r="D959" t="s">
        <v>53</v>
      </c>
      <c r="E959" t="s">
        <v>134</v>
      </c>
      <c r="F959" t="s">
        <v>15</v>
      </c>
      <c r="G959">
        <v>376555.32</v>
      </c>
      <c r="H959">
        <v>335605.44</v>
      </c>
      <c r="I959" t="s">
        <v>32</v>
      </c>
      <c r="J959" t="s">
        <v>19</v>
      </c>
      <c r="K959">
        <v>40949.880000000005</v>
      </c>
      <c r="L959">
        <v>0.10874864282889432</v>
      </c>
    </row>
    <row r="960" spans="1:12" x14ac:dyDescent="0.35">
      <c r="A960" t="s">
        <v>3250</v>
      </c>
      <c r="B960" s="1">
        <v>46025</v>
      </c>
      <c r="C960" t="s">
        <v>99</v>
      </c>
      <c r="D960" t="s">
        <v>36</v>
      </c>
      <c r="E960" t="s">
        <v>109</v>
      </c>
      <c r="F960" t="s">
        <v>79</v>
      </c>
      <c r="G960">
        <v>199211.51</v>
      </c>
      <c r="H960">
        <v>82494.899999999994</v>
      </c>
      <c r="I960" t="s">
        <v>18</v>
      </c>
      <c r="J960" t="s">
        <v>41</v>
      </c>
      <c r="K960">
        <v>116716.61000000002</v>
      </c>
      <c r="L960">
        <v>0.58589290347731415</v>
      </c>
    </row>
    <row r="961" spans="1:12" x14ac:dyDescent="0.35">
      <c r="A961" t="s">
        <v>3253</v>
      </c>
      <c r="B961" s="1">
        <v>46169</v>
      </c>
      <c r="C961" t="s">
        <v>3383</v>
      </c>
      <c r="D961" t="s">
        <v>53</v>
      </c>
      <c r="E961" t="s">
        <v>24</v>
      </c>
      <c r="F961" t="s">
        <v>25</v>
      </c>
      <c r="G961">
        <v>86223.37</v>
      </c>
      <c r="H961">
        <v>50219.29</v>
      </c>
      <c r="I961" t="s">
        <v>18</v>
      </c>
      <c r="J961" t="s">
        <v>41</v>
      </c>
      <c r="K961">
        <v>36004.079999999994</v>
      </c>
      <c r="L961">
        <v>0.41756753418475751</v>
      </c>
    </row>
    <row r="962" spans="1:12" x14ac:dyDescent="0.35">
      <c r="A962" t="s">
        <v>3256</v>
      </c>
      <c r="B962" s="1">
        <v>46070</v>
      </c>
      <c r="C962" t="s">
        <v>99</v>
      </c>
      <c r="D962" t="s">
        <v>36</v>
      </c>
      <c r="E962" t="s">
        <v>45</v>
      </c>
      <c r="F962" t="s">
        <v>38</v>
      </c>
      <c r="G962">
        <v>98450.87</v>
      </c>
      <c r="H962">
        <v>74113.73</v>
      </c>
      <c r="I962" t="s">
        <v>49</v>
      </c>
      <c r="J962" t="s">
        <v>41</v>
      </c>
      <c r="K962">
        <v>24337.14</v>
      </c>
      <c r="L962">
        <v>0.24720086272472758</v>
      </c>
    </row>
    <row r="963" spans="1:12" x14ac:dyDescent="0.35">
      <c r="A963" t="s">
        <v>3259</v>
      </c>
      <c r="B963" s="1">
        <v>46057</v>
      </c>
      <c r="C963" t="s">
        <v>12</v>
      </c>
      <c r="D963" t="s">
        <v>23</v>
      </c>
      <c r="E963" t="s">
        <v>109</v>
      </c>
      <c r="F963" t="s">
        <v>74</v>
      </c>
      <c r="G963">
        <v>142093.82</v>
      </c>
      <c r="H963">
        <v>69068.009999999995</v>
      </c>
      <c r="I963" t="s">
        <v>18</v>
      </c>
      <c r="J963" t="s">
        <v>41</v>
      </c>
      <c r="K963">
        <v>73025.810000000012</v>
      </c>
      <c r="L963">
        <v>0.51392671405413692</v>
      </c>
    </row>
    <row r="964" spans="1:12" x14ac:dyDescent="0.35">
      <c r="A964" t="s">
        <v>3262</v>
      </c>
      <c r="B964" s="1">
        <v>46061</v>
      </c>
      <c r="C964" t="s">
        <v>99</v>
      </c>
      <c r="D964" t="s">
        <v>53</v>
      </c>
      <c r="E964" t="s">
        <v>37</v>
      </c>
      <c r="F964" t="s">
        <v>38</v>
      </c>
      <c r="G964">
        <v>223102.83</v>
      </c>
      <c r="H964">
        <v>89740.61</v>
      </c>
      <c r="I964" t="s">
        <v>18</v>
      </c>
      <c r="J964" t="s">
        <v>19</v>
      </c>
      <c r="K964">
        <v>133362.21999999997</v>
      </c>
      <c r="L964">
        <v>0.5977612206891324</v>
      </c>
    </row>
    <row r="965" spans="1:12" x14ac:dyDescent="0.35">
      <c r="A965" t="s">
        <v>3265</v>
      </c>
      <c r="B965" s="1">
        <v>46199</v>
      </c>
      <c r="C965" t="s">
        <v>12</v>
      </c>
      <c r="D965" t="s">
        <v>23</v>
      </c>
      <c r="E965" t="s">
        <v>134</v>
      </c>
      <c r="F965" t="s">
        <v>74</v>
      </c>
      <c r="G965">
        <v>486810.3</v>
      </c>
      <c r="H965">
        <v>328974.53999999998</v>
      </c>
      <c r="I965" t="s">
        <v>18</v>
      </c>
      <c r="J965" t="s">
        <v>41</v>
      </c>
      <c r="K965">
        <v>157835.76</v>
      </c>
      <c r="L965">
        <v>0.32422436419278722</v>
      </c>
    </row>
    <row r="966" spans="1:12" x14ac:dyDescent="0.35">
      <c r="A966" t="s">
        <v>3268</v>
      </c>
      <c r="B966" s="1">
        <v>46084</v>
      </c>
      <c r="C966" t="s">
        <v>52</v>
      </c>
      <c r="D966" t="s">
        <v>36</v>
      </c>
      <c r="E966" t="s">
        <v>37</v>
      </c>
      <c r="F966" t="s">
        <v>46</v>
      </c>
      <c r="G966">
        <v>139531.19</v>
      </c>
      <c r="H966">
        <v>69819.929999999993</v>
      </c>
      <c r="I966" t="s">
        <v>32</v>
      </c>
      <c r="J966" t="s">
        <v>19</v>
      </c>
      <c r="K966">
        <v>69711.260000000009</v>
      </c>
      <c r="L966">
        <v>0.49961058885830478</v>
      </c>
    </row>
    <row r="967" spans="1:12" x14ac:dyDescent="0.35">
      <c r="A967" t="s">
        <v>3271</v>
      </c>
      <c r="B967" s="1">
        <v>46128</v>
      </c>
      <c r="C967" t="s">
        <v>99</v>
      </c>
      <c r="D967" t="s">
        <v>36</v>
      </c>
      <c r="E967" t="s">
        <v>37</v>
      </c>
      <c r="F967" t="s">
        <v>74</v>
      </c>
      <c r="G967">
        <v>110848.38</v>
      </c>
      <c r="H967">
        <v>71369.81</v>
      </c>
      <c r="I967" t="s">
        <v>32</v>
      </c>
      <c r="J967" t="s">
        <v>19</v>
      </c>
      <c r="K967">
        <v>39478.570000000007</v>
      </c>
      <c r="L967">
        <v>0.35614927344901209</v>
      </c>
    </row>
    <row r="968" spans="1:12" x14ac:dyDescent="0.35">
      <c r="A968" t="s">
        <v>3274</v>
      </c>
      <c r="B968" s="1">
        <v>46108</v>
      </c>
      <c r="C968" t="s">
        <v>3383</v>
      </c>
      <c r="D968" t="s">
        <v>36</v>
      </c>
      <c r="E968" t="s">
        <v>109</v>
      </c>
      <c r="F968" t="s">
        <v>15</v>
      </c>
      <c r="G968">
        <v>119077.84</v>
      </c>
      <c r="H968">
        <v>103646.28</v>
      </c>
      <c r="I968" t="s">
        <v>49</v>
      </c>
      <c r="J968" t="s">
        <v>41</v>
      </c>
      <c r="K968">
        <v>15431.559999999998</v>
      </c>
      <c r="L968">
        <v>0.12959220624089249</v>
      </c>
    </row>
    <row r="969" spans="1:12" x14ac:dyDescent="0.35">
      <c r="A969" t="s">
        <v>3277</v>
      </c>
      <c r="B969" s="1">
        <v>46102</v>
      </c>
      <c r="C969" t="s">
        <v>12</v>
      </c>
      <c r="D969" t="s">
        <v>36</v>
      </c>
      <c r="E969" t="s">
        <v>14</v>
      </c>
      <c r="F969" t="s">
        <v>25</v>
      </c>
      <c r="G969">
        <v>370681.47</v>
      </c>
      <c r="H969">
        <v>174583.84</v>
      </c>
      <c r="I969" t="s">
        <v>49</v>
      </c>
      <c r="J969" t="s">
        <v>41</v>
      </c>
      <c r="K969">
        <v>196097.62999999998</v>
      </c>
      <c r="L969">
        <v>0.52901924123695743</v>
      </c>
    </row>
    <row r="970" spans="1:12" x14ac:dyDescent="0.35">
      <c r="A970" t="s">
        <v>3280</v>
      </c>
      <c r="B970" s="1">
        <v>46109</v>
      </c>
      <c r="C970" t="s">
        <v>52</v>
      </c>
      <c r="D970" t="s">
        <v>23</v>
      </c>
      <c r="E970" t="s">
        <v>37</v>
      </c>
      <c r="F970" t="s">
        <v>25</v>
      </c>
      <c r="G970">
        <v>470814.97</v>
      </c>
      <c r="H970">
        <v>425259.86</v>
      </c>
      <c r="I970" t="s">
        <v>49</v>
      </c>
      <c r="J970" t="s">
        <v>41</v>
      </c>
      <c r="K970">
        <v>45555.109999999986</v>
      </c>
      <c r="L970">
        <v>9.6757989662053415E-2</v>
      </c>
    </row>
    <row r="971" spans="1:12" x14ac:dyDescent="0.35">
      <c r="A971" t="s">
        <v>3283</v>
      </c>
      <c r="B971" s="1">
        <v>46177</v>
      </c>
      <c r="C971" t="s">
        <v>12</v>
      </c>
      <c r="D971" t="s">
        <v>53</v>
      </c>
      <c r="E971" t="s">
        <v>14</v>
      </c>
      <c r="F971" t="s">
        <v>38</v>
      </c>
      <c r="G971">
        <v>274468.55</v>
      </c>
      <c r="H971">
        <v>176400.9</v>
      </c>
      <c r="I971" t="s">
        <v>18</v>
      </c>
      <c r="J971" t="s">
        <v>41</v>
      </c>
      <c r="K971">
        <v>98067.65</v>
      </c>
      <c r="L971">
        <v>0.35730013511566261</v>
      </c>
    </row>
    <row r="972" spans="1:12" x14ac:dyDescent="0.35">
      <c r="A972" t="s">
        <v>3286</v>
      </c>
      <c r="B972" s="1">
        <v>46100</v>
      </c>
      <c r="C972" t="s">
        <v>12</v>
      </c>
      <c r="D972" t="s">
        <v>36</v>
      </c>
      <c r="E972" t="s">
        <v>45</v>
      </c>
      <c r="F972" t="s">
        <v>38</v>
      </c>
      <c r="G972">
        <v>299586.52</v>
      </c>
      <c r="H972">
        <v>216169.48</v>
      </c>
      <c r="I972" t="s">
        <v>32</v>
      </c>
      <c r="J972" t="s">
        <v>19</v>
      </c>
      <c r="K972">
        <v>83417.040000000008</v>
      </c>
      <c r="L972">
        <v>0.27844056534986955</v>
      </c>
    </row>
    <row r="973" spans="1:12" x14ac:dyDescent="0.35">
      <c r="A973" t="s">
        <v>3289</v>
      </c>
      <c r="B973" s="1">
        <v>46080</v>
      </c>
      <c r="C973" t="s">
        <v>52</v>
      </c>
      <c r="D973" t="s">
        <v>23</v>
      </c>
      <c r="E973" t="s">
        <v>24</v>
      </c>
      <c r="F973" t="s">
        <v>15</v>
      </c>
      <c r="G973">
        <v>169854.17</v>
      </c>
      <c r="H973">
        <v>150329.81</v>
      </c>
      <c r="I973" t="s">
        <v>18</v>
      </c>
      <c r="J973" t="s">
        <v>41</v>
      </c>
      <c r="K973">
        <v>19524.360000000015</v>
      </c>
      <c r="L973">
        <v>0.11494778138211158</v>
      </c>
    </row>
    <row r="974" spans="1:12" x14ac:dyDescent="0.35">
      <c r="A974" t="s">
        <v>3292</v>
      </c>
      <c r="B974" s="1">
        <v>46124</v>
      </c>
      <c r="C974" t="s">
        <v>52</v>
      </c>
      <c r="D974" t="s">
        <v>53</v>
      </c>
      <c r="E974" t="s">
        <v>37</v>
      </c>
      <c r="F974" t="s">
        <v>79</v>
      </c>
      <c r="G974">
        <v>225436.38</v>
      </c>
      <c r="H974">
        <v>135918.98000000001</v>
      </c>
      <c r="I974" t="s">
        <v>32</v>
      </c>
      <c r="J974" t="s">
        <v>19</v>
      </c>
      <c r="K974">
        <v>89517.4</v>
      </c>
      <c r="L974">
        <v>0.39708497803238318</v>
      </c>
    </row>
    <row r="975" spans="1:12" x14ac:dyDescent="0.35">
      <c r="A975" t="s">
        <v>3295</v>
      </c>
      <c r="B975" s="1">
        <v>46194</v>
      </c>
      <c r="C975" t="s">
        <v>3383</v>
      </c>
      <c r="D975" t="s">
        <v>53</v>
      </c>
      <c r="E975" t="s">
        <v>14</v>
      </c>
      <c r="F975" t="s">
        <v>15</v>
      </c>
      <c r="G975">
        <v>104310.53</v>
      </c>
      <c r="H975">
        <v>44941.07</v>
      </c>
      <c r="I975" t="s">
        <v>18</v>
      </c>
      <c r="J975" t="s">
        <v>19</v>
      </c>
      <c r="K975">
        <v>59369.46</v>
      </c>
      <c r="L975">
        <v>0.56916075491132101</v>
      </c>
    </row>
    <row r="976" spans="1:12" x14ac:dyDescent="0.35">
      <c r="A976" t="s">
        <v>3298</v>
      </c>
      <c r="B976" s="1">
        <v>46029</v>
      </c>
      <c r="C976" t="s">
        <v>52</v>
      </c>
      <c r="D976" t="s">
        <v>36</v>
      </c>
      <c r="E976" t="s">
        <v>14</v>
      </c>
      <c r="F976" t="s">
        <v>38</v>
      </c>
      <c r="G976">
        <v>294535.25</v>
      </c>
      <c r="H976">
        <v>145317.95000000001</v>
      </c>
      <c r="I976" t="s">
        <v>49</v>
      </c>
      <c r="J976" t="s">
        <v>19</v>
      </c>
      <c r="K976">
        <v>149217.29999999999</v>
      </c>
      <c r="L976">
        <v>0.50661949630816683</v>
      </c>
    </row>
    <row r="977" spans="1:12" x14ac:dyDescent="0.35">
      <c r="A977" t="s">
        <v>3301</v>
      </c>
      <c r="B977" s="1">
        <v>46096</v>
      </c>
      <c r="C977" t="s">
        <v>3383</v>
      </c>
      <c r="D977" t="s">
        <v>53</v>
      </c>
      <c r="E977" t="s">
        <v>37</v>
      </c>
      <c r="F977" t="s">
        <v>25</v>
      </c>
      <c r="G977">
        <v>134873.79</v>
      </c>
      <c r="H977">
        <v>58831.93</v>
      </c>
      <c r="I977" t="s">
        <v>49</v>
      </c>
      <c r="J977" t="s">
        <v>41</v>
      </c>
      <c r="K977">
        <v>76041.860000000015</v>
      </c>
      <c r="L977">
        <v>0.56380012751180208</v>
      </c>
    </row>
    <row r="978" spans="1:12" x14ac:dyDescent="0.35">
      <c r="A978" t="s">
        <v>3305</v>
      </c>
      <c r="B978" s="1">
        <v>46201</v>
      </c>
      <c r="C978" t="s">
        <v>3383</v>
      </c>
      <c r="D978" t="s">
        <v>23</v>
      </c>
      <c r="E978" t="s">
        <v>45</v>
      </c>
      <c r="F978" t="s">
        <v>79</v>
      </c>
      <c r="G978">
        <v>438189.19</v>
      </c>
      <c r="H978">
        <v>255919.34</v>
      </c>
      <c r="I978" t="s">
        <v>49</v>
      </c>
      <c r="J978" t="s">
        <v>41</v>
      </c>
      <c r="K978">
        <v>182269.85</v>
      </c>
      <c r="L978">
        <v>0.41596153935244273</v>
      </c>
    </row>
    <row r="979" spans="1:12" x14ac:dyDescent="0.35">
      <c r="A979" t="s">
        <v>3308</v>
      </c>
      <c r="B979" s="1">
        <v>46199</v>
      </c>
      <c r="C979" t="s">
        <v>12</v>
      </c>
      <c r="D979" t="s">
        <v>53</v>
      </c>
      <c r="E979" t="s">
        <v>24</v>
      </c>
      <c r="F979" t="s">
        <v>25</v>
      </c>
      <c r="G979">
        <v>118211.7</v>
      </c>
      <c r="H979">
        <v>101720.67</v>
      </c>
      <c r="I979" t="s">
        <v>49</v>
      </c>
      <c r="J979" t="s">
        <v>19</v>
      </c>
      <c r="K979">
        <v>16491.03</v>
      </c>
      <c r="L979">
        <v>0.13950421151205844</v>
      </c>
    </row>
    <row r="980" spans="1:12" x14ac:dyDescent="0.35">
      <c r="A980" t="s">
        <v>3311</v>
      </c>
      <c r="B980" s="1">
        <v>46188</v>
      </c>
      <c r="C980" t="s">
        <v>99</v>
      </c>
      <c r="D980" t="s">
        <v>23</v>
      </c>
      <c r="E980" t="s">
        <v>24</v>
      </c>
      <c r="F980" t="s">
        <v>79</v>
      </c>
      <c r="G980">
        <v>359503.11</v>
      </c>
      <c r="H980">
        <v>332866.93</v>
      </c>
      <c r="I980" t="s">
        <v>32</v>
      </c>
      <c r="J980" t="s">
        <v>19</v>
      </c>
      <c r="K980">
        <v>26636.179999999993</v>
      </c>
      <c r="L980">
        <v>7.409165389417631E-2</v>
      </c>
    </row>
    <row r="981" spans="1:12" x14ac:dyDescent="0.35">
      <c r="A981" t="s">
        <v>3315</v>
      </c>
      <c r="B981" s="1">
        <v>46120</v>
      </c>
      <c r="C981" t="s">
        <v>12</v>
      </c>
      <c r="D981" t="s">
        <v>53</v>
      </c>
      <c r="E981" t="s">
        <v>134</v>
      </c>
      <c r="F981" t="s">
        <v>74</v>
      </c>
      <c r="G981">
        <v>369168.51</v>
      </c>
      <c r="H981">
        <v>190358.54</v>
      </c>
      <c r="I981" t="s">
        <v>18</v>
      </c>
      <c r="J981" t="s">
        <v>19</v>
      </c>
      <c r="K981">
        <v>178809.97</v>
      </c>
      <c r="L981">
        <v>0.48435867403750116</v>
      </c>
    </row>
    <row r="982" spans="1:12" x14ac:dyDescent="0.35">
      <c r="A982" t="s">
        <v>3318</v>
      </c>
      <c r="B982" s="1">
        <v>46149</v>
      </c>
      <c r="C982" t="s">
        <v>52</v>
      </c>
      <c r="D982" t="s">
        <v>53</v>
      </c>
      <c r="E982" t="s">
        <v>37</v>
      </c>
      <c r="F982" t="s">
        <v>25</v>
      </c>
      <c r="G982">
        <v>50669.53</v>
      </c>
      <c r="H982">
        <v>33236.92</v>
      </c>
      <c r="I982" t="s">
        <v>49</v>
      </c>
      <c r="J982" t="s">
        <v>41</v>
      </c>
      <c r="K982">
        <v>17432.61</v>
      </c>
      <c r="L982">
        <v>0.34404522797034037</v>
      </c>
    </row>
    <row r="983" spans="1:12" x14ac:dyDescent="0.35">
      <c r="A983" t="s">
        <v>3321</v>
      </c>
      <c r="B983" s="1">
        <v>46107</v>
      </c>
      <c r="C983" t="s">
        <v>12</v>
      </c>
      <c r="D983" t="s">
        <v>53</v>
      </c>
      <c r="E983" t="s">
        <v>134</v>
      </c>
      <c r="F983" t="s">
        <v>15</v>
      </c>
      <c r="G983">
        <v>381957.08</v>
      </c>
      <c r="H983">
        <v>280696.38</v>
      </c>
      <c r="I983" t="s">
        <v>49</v>
      </c>
      <c r="J983" t="s">
        <v>19</v>
      </c>
      <c r="K983">
        <v>101260.70000000001</v>
      </c>
      <c r="L983">
        <v>0.26511015321407316</v>
      </c>
    </row>
    <row r="984" spans="1:12" x14ac:dyDescent="0.35">
      <c r="A984" t="s">
        <v>3324</v>
      </c>
      <c r="B984" s="1">
        <v>46159</v>
      </c>
      <c r="C984" t="s">
        <v>12</v>
      </c>
      <c r="D984" t="s">
        <v>36</v>
      </c>
      <c r="E984" t="s">
        <v>134</v>
      </c>
      <c r="F984" t="s">
        <v>25</v>
      </c>
      <c r="G984">
        <v>317810.90999999997</v>
      </c>
      <c r="H984">
        <v>286350.74</v>
      </c>
      <c r="I984" t="s">
        <v>32</v>
      </c>
      <c r="J984" t="s">
        <v>41</v>
      </c>
      <c r="K984">
        <v>31460.169999999984</v>
      </c>
      <c r="L984">
        <v>9.8990214023804243E-2</v>
      </c>
    </row>
    <row r="985" spans="1:12" x14ac:dyDescent="0.35">
      <c r="A985" t="s">
        <v>3327</v>
      </c>
      <c r="B985" s="1">
        <v>46161</v>
      </c>
      <c r="C985" t="s">
        <v>12</v>
      </c>
      <c r="D985" t="s">
        <v>53</v>
      </c>
      <c r="E985" t="s">
        <v>45</v>
      </c>
      <c r="F985" t="s">
        <v>25</v>
      </c>
      <c r="G985">
        <v>157887.48000000001</v>
      </c>
      <c r="H985">
        <v>120666.82</v>
      </c>
      <c r="I985" t="s">
        <v>18</v>
      </c>
      <c r="J985" t="s">
        <v>19</v>
      </c>
      <c r="K985">
        <v>37220.660000000003</v>
      </c>
      <c r="L985">
        <v>0.23574168135434173</v>
      </c>
    </row>
    <row r="986" spans="1:12" x14ac:dyDescent="0.35">
      <c r="A986" t="s">
        <v>3330</v>
      </c>
      <c r="B986" s="1">
        <v>46168</v>
      </c>
      <c r="C986" t="s">
        <v>12</v>
      </c>
      <c r="D986" t="s">
        <v>36</v>
      </c>
      <c r="E986" t="s">
        <v>14</v>
      </c>
      <c r="F986" t="s">
        <v>79</v>
      </c>
      <c r="G986">
        <v>198769.17</v>
      </c>
      <c r="H986">
        <v>95726.85</v>
      </c>
      <c r="I986" t="s">
        <v>18</v>
      </c>
      <c r="J986" t="s">
        <v>19</v>
      </c>
      <c r="K986">
        <v>103042.32</v>
      </c>
      <c r="L986">
        <v>0.51840192319563438</v>
      </c>
    </row>
    <row r="987" spans="1:12" x14ac:dyDescent="0.35">
      <c r="A987" t="s">
        <v>3333</v>
      </c>
      <c r="B987" s="1">
        <v>46039</v>
      </c>
      <c r="C987" t="s">
        <v>12</v>
      </c>
      <c r="D987" t="s">
        <v>23</v>
      </c>
      <c r="E987" t="s">
        <v>14</v>
      </c>
      <c r="F987" t="s">
        <v>38</v>
      </c>
      <c r="G987">
        <v>253106.51</v>
      </c>
      <c r="H987">
        <v>158232.25</v>
      </c>
      <c r="I987" t="s">
        <v>18</v>
      </c>
      <c r="J987" t="s">
        <v>19</v>
      </c>
      <c r="K987">
        <v>94874.260000000009</v>
      </c>
      <c r="L987">
        <v>0.37483927220994834</v>
      </c>
    </row>
    <row r="988" spans="1:12" x14ac:dyDescent="0.35">
      <c r="A988" t="s">
        <v>3336</v>
      </c>
      <c r="B988" s="1">
        <v>46161</v>
      </c>
      <c r="C988" t="s">
        <v>67</v>
      </c>
      <c r="D988" t="s">
        <v>36</v>
      </c>
      <c r="E988" t="s">
        <v>109</v>
      </c>
      <c r="F988" t="s">
        <v>46</v>
      </c>
      <c r="G988">
        <v>221854.94</v>
      </c>
      <c r="H988">
        <v>153742.85</v>
      </c>
      <c r="I988" t="s">
        <v>18</v>
      </c>
      <c r="J988" t="s">
        <v>19</v>
      </c>
      <c r="K988">
        <v>68112.09</v>
      </c>
      <c r="L988">
        <v>0.30701182493389595</v>
      </c>
    </row>
    <row r="989" spans="1:12" x14ac:dyDescent="0.35">
      <c r="A989" t="s">
        <v>3339</v>
      </c>
      <c r="B989" s="1">
        <v>46122</v>
      </c>
      <c r="C989" t="s">
        <v>3383</v>
      </c>
      <c r="D989" t="s">
        <v>53</v>
      </c>
      <c r="E989" t="s">
        <v>45</v>
      </c>
      <c r="F989" t="s">
        <v>15</v>
      </c>
      <c r="G989">
        <v>369521.41</v>
      </c>
      <c r="H989">
        <v>285417.96999999997</v>
      </c>
      <c r="I989" t="s">
        <v>18</v>
      </c>
      <c r="J989" t="s">
        <v>41</v>
      </c>
      <c r="K989">
        <v>84103.44</v>
      </c>
      <c r="L989">
        <v>0.22760099340387344</v>
      </c>
    </row>
    <row r="990" spans="1:12" x14ac:dyDescent="0.35">
      <c r="A990" t="s">
        <v>3342</v>
      </c>
      <c r="B990" s="1">
        <v>46129</v>
      </c>
      <c r="C990" t="s">
        <v>12</v>
      </c>
      <c r="D990" t="s">
        <v>36</v>
      </c>
      <c r="E990" t="s">
        <v>37</v>
      </c>
      <c r="F990" t="s">
        <v>15</v>
      </c>
      <c r="G990">
        <v>283247.35999999999</v>
      </c>
      <c r="H990">
        <v>199533.38</v>
      </c>
      <c r="I990" t="s">
        <v>49</v>
      </c>
      <c r="J990" t="s">
        <v>19</v>
      </c>
      <c r="K990">
        <v>83713.979999999981</v>
      </c>
      <c r="L990">
        <v>0.2955507864221576</v>
      </c>
    </row>
    <row r="991" spans="1:12" x14ac:dyDescent="0.35">
      <c r="A991" t="s">
        <v>3345</v>
      </c>
      <c r="B991" s="1">
        <v>46198</v>
      </c>
      <c r="C991" t="s">
        <v>12</v>
      </c>
      <c r="D991" t="s">
        <v>23</v>
      </c>
      <c r="E991" t="s">
        <v>24</v>
      </c>
      <c r="F991" t="s">
        <v>74</v>
      </c>
      <c r="G991">
        <v>273606.64</v>
      </c>
      <c r="H991">
        <v>209604.26</v>
      </c>
      <c r="I991" t="s">
        <v>32</v>
      </c>
      <c r="J991" t="s">
        <v>41</v>
      </c>
      <c r="K991">
        <v>64002.380000000005</v>
      </c>
      <c r="L991">
        <v>0.23392115045161185</v>
      </c>
    </row>
    <row r="992" spans="1:12" x14ac:dyDescent="0.35">
      <c r="A992" t="s">
        <v>3348</v>
      </c>
      <c r="B992" s="1">
        <v>46159</v>
      </c>
      <c r="C992" t="s">
        <v>52</v>
      </c>
      <c r="D992" t="s">
        <v>36</v>
      </c>
      <c r="E992" t="s">
        <v>37</v>
      </c>
      <c r="F992" t="s">
        <v>46</v>
      </c>
      <c r="G992">
        <v>103765.73</v>
      </c>
      <c r="H992">
        <v>81963.78</v>
      </c>
      <c r="I992" t="s">
        <v>49</v>
      </c>
      <c r="J992" t="s">
        <v>41</v>
      </c>
      <c r="K992">
        <v>21801.949999999997</v>
      </c>
      <c r="L992">
        <v>0.21010742178559336</v>
      </c>
    </row>
    <row r="993" spans="1:12" x14ac:dyDescent="0.35">
      <c r="A993" t="s">
        <v>3351</v>
      </c>
      <c r="B993" s="1">
        <v>46141</v>
      </c>
      <c r="C993" t="s">
        <v>12</v>
      </c>
      <c r="D993" t="s">
        <v>53</v>
      </c>
      <c r="E993" t="s">
        <v>45</v>
      </c>
      <c r="F993" t="s">
        <v>74</v>
      </c>
      <c r="G993">
        <v>205207.37</v>
      </c>
      <c r="H993">
        <v>189761.26</v>
      </c>
      <c r="I993" t="s">
        <v>18</v>
      </c>
      <c r="J993" t="s">
        <v>41</v>
      </c>
      <c r="K993">
        <v>15446.109999999986</v>
      </c>
      <c r="L993">
        <v>7.5270737108516061E-2</v>
      </c>
    </row>
    <row r="994" spans="1:12" x14ac:dyDescent="0.35">
      <c r="A994" t="s">
        <v>3355</v>
      </c>
      <c r="B994" s="1">
        <v>46024</v>
      </c>
      <c r="C994" t="s">
        <v>99</v>
      </c>
      <c r="D994" t="s">
        <v>23</v>
      </c>
      <c r="E994" t="s">
        <v>134</v>
      </c>
      <c r="F994" t="s">
        <v>15</v>
      </c>
      <c r="G994">
        <v>272680.24</v>
      </c>
      <c r="H994">
        <v>181706.62</v>
      </c>
      <c r="I994" t="s">
        <v>18</v>
      </c>
      <c r="J994" t="s">
        <v>41</v>
      </c>
      <c r="K994">
        <v>90973.62</v>
      </c>
      <c r="L994">
        <v>0.33362747517018465</v>
      </c>
    </row>
    <row r="995" spans="1:12" x14ac:dyDescent="0.35">
      <c r="A995" t="s">
        <v>3359</v>
      </c>
      <c r="B995" s="1">
        <v>46165</v>
      </c>
      <c r="C995" t="s">
        <v>52</v>
      </c>
      <c r="D995" t="s">
        <v>36</v>
      </c>
      <c r="E995" t="s">
        <v>109</v>
      </c>
      <c r="F995" t="s">
        <v>46</v>
      </c>
      <c r="G995">
        <v>137251.85999999999</v>
      </c>
      <c r="H995">
        <v>111487.76</v>
      </c>
      <c r="I995" t="s">
        <v>32</v>
      </c>
      <c r="J995" t="s">
        <v>19</v>
      </c>
      <c r="K995">
        <v>25764.099999999991</v>
      </c>
      <c r="L995">
        <v>0.18771403170783985</v>
      </c>
    </row>
    <row r="996" spans="1:12" x14ac:dyDescent="0.35">
      <c r="A996" t="s">
        <v>3362</v>
      </c>
      <c r="B996" s="1">
        <v>46083</v>
      </c>
      <c r="C996" t="s">
        <v>52</v>
      </c>
      <c r="D996" t="s">
        <v>53</v>
      </c>
      <c r="E996" t="s">
        <v>14</v>
      </c>
      <c r="F996" t="s">
        <v>15</v>
      </c>
      <c r="G996">
        <v>424213.72</v>
      </c>
      <c r="H996">
        <v>388983.17</v>
      </c>
      <c r="I996" t="s">
        <v>32</v>
      </c>
      <c r="J996" t="s">
        <v>41</v>
      </c>
      <c r="K996">
        <v>35230.549999999988</v>
      </c>
      <c r="L996">
        <v>8.3049058385004593E-2</v>
      </c>
    </row>
    <row r="997" spans="1:12" x14ac:dyDescent="0.35">
      <c r="A997" t="s">
        <v>3365</v>
      </c>
      <c r="B997" s="1">
        <v>46120</v>
      </c>
      <c r="C997" t="s">
        <v>52</v>
      </c>
      <c r="D997" t="s">
        <v>36</v>
      </c>
      <c r="E997" t="s">
        <v>109</v>
      </c>
      <c r="F997" t="s">
        <v>15</v>
      </c>
      <c r="G997">
        <v>296820.94</v>
      </c>
      <c r="H997">
        <v>201142.99</v>
      </c>
      <c r="I997" t="s">
        <v>18</v>
      </c>
      <c r="J997" t="s">
        <v>19</v>
      </c>
      <c r="K997">
        <v>95677.950000000012</v>
      </c>
      <c r="L997">
        <v>0.32234231857092027</v>
      </c>
    </row>
    <row r="998" spans="1:12" x14ac:dyDescent="0.35">
      <c r="A998" t="s">
        <v>3368</v>
      </c>
      <c r="B998" s="1">
        <v>46125</v>
      </c>
      <c r="C998" t="s">
        <v>3383</v>
      </c>
      <c r="D998" t="s">
        <v>23</v>
      </c>
      <c r="E998" t="s">
        <v>14</v>
      </c>
      <c r="F998" t="s">
        <v>74</v>
      </c>
      <c r="G998">
        <v>389799.73</v>
      </c>
      <c r="H998">
        <v>298634.27</v>
      </c>
      <c r="I998" t="s">
        <v>18</v>
      </c>
      <c r="J998" t="s">
        <v>41</v>
      </c>
      <c r="K998">
        <v>91165.459999999963</v>
      </c>
      <c r="L998">
        <v>0.23387768893528985</v>
      </c>
    </row>
    <row r="999" spans="1:12" x14ac:dyDescent="0.35">
      <c r="A999" t="s">
        <v>3371</v>
      </c>
      <c r="B999" s="1">
        <v>46051</v>
      </c>
      <c r="C999" t="s">
        <v>99</v>
      </c>
      <c r="D999" t="s">
        <v>36</v>
      </c>
      <c r="E999" t="s">
        <v>45</v>
      </c>
      <c r="F999" t="s">
        <v>38</v>
      </c>
      <c r="G999">
        <v>450428.04</v>
      </c>
      <c r="H999">
        <v>301874.89</v>
      </c>
      <c r="I999" t="s">
        <v>32</v>
      </c>
      <c r="J999" t="s">
        <v>41</v>
      </c>
      <c r="K999">
        <v>148553.14999999997</v>
      </c>
      <c r="L999">
        <v>0.32980440116472315</v>
      </c>
    </row>
    <row r="1000" spans="1:12" x14ac:dyDescent="0.35">
      <c r="A1000" t="s">
        <v>3374</v>
      </c>
      <c r="B1000" s="1">
        <v>46175</v>
      </c>
      <c r="C1000" t="s">
        <v>12</v>
      </c>
      <c r="D1000" t="s">
        <v>36</v>
      </c>
      <c r="E1000" t="s">
        <v>45</v>
      </c>
      <c r="F1000" t="s">
        <v>25</v>
      </c>
      <c r="G1000">
        <v>254973.64</v>
      </c>
      <c r="H1000">
        <v>212824.45</v>
      </c>
      <c r="I1000" t="s">
        <v>32</v>
      </c>
      <c r="J1000" t="s">
        <v>41</v>
      </c>
      <c r="K1000">
        <v>42149.19</v>
      </c>
      <c r="L1000">
        <v>0.16530802948885226</v>
      </c>
    </row>
    <row r="1001" spans="1:12" x14ac:dyDescent="0.35">
      <c r="A1001" t="s">
        <v>3377</v>
      </c>
      <c r="B1001" s="1">
        <v>46125</v>
      </c>
      <c r="C1001" t="s">
        <v>52</v>
      </c>
      <c r="D1001" t="s">
        <v>36</v>
      </c>
      <c r="E1001" t="s">
        <v>45</v>
      </c>
      <c r="F1001" t="s">
        <v>46</v>
      </c>
      <c r="G1001">
        <v>269818.31</v>
      </c>
      <c r="H1001">
        <v>207101.09</v>
      </c>
      <c r="I1001" t="s">
        <v>49</v>
      </c>
      <c r="J1001" t="s">
        <v>19</v>
      </c>
      <c r="K1001">
        <v>62717.22</v>
      </c>
      <c r="L1001">
        <v>0.23244241652836681</v>
      </c>
    </row>
    <row r="1002" spans="1:12" x14ac:dyDescent="0.35">
      <c r="B1002"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DEDB6-86B0-48D2-A394-B04ED93D0AB0}">
  <dimension ref="B1:L5"/>
  <sheetViews>
    <sheetView showGridLines="0" tabSelected="1" zoomScale="48" zoomScaleNormal="48" workbookViewId="0">
      <selection activeCell="AD25" sqref="AD25"/>
    </sheetView>
  </sheetViews>
  <sheetFormatPr defaultRowHeight="14.5" x14ac:dyDescent="0.35"/>
  <cols>
    <col min="2" max="2" width="24" customWidth="1"/>
    <col min="4" max="4" width="23.90625" customWidth="1"/>
    <col min="6" max="6" width="22.54296875" customWidth="1"/>
    <col min="8" max="8" width="20.90625" customWidth="1"/>
    <col min="9" max="9" width="9.453125" customWidth="1"/>
    <col min="10" max="10" width="20.81640625" customWidth="1"/>
    <col min="12" max="12" width="21.6328125" customWidth="1"/>
  </cols>
  <sheetData>
    <row r="1" spans="2:12" ht="21" x14ac:dyDescent="0.5">
      <c r="I1" s="12" t="s">
        <v>3401</v>
      </c>
      <c r="J1" s="12"/>
      <c r="K1" s="12"/>
      <c r="L1" s="12"/>
    </row>
    <row r="2" spans="2:12" ht="21.5" thickBot="1" x14ac:dyDescent="0.55000000000000004">
      <c r="I2" s="13"/>
      <c r="J2" s="13"/>
      <c r="K2" s="13"/>
      <c r="L2" s="13"/>
    </row>
    <row r="3" spans="2:12" x14ac:dyDescent="0.35">
      <c r="B3" s="7" t="s">
        <v>3384</v>
      </c>
      <c r="D3" s="7" t="s">
        <v>3385</v>
      </c>
      <c r="F3" s="7" t="s">
        <v>3386</v>
      </c>
      <c r="H3" s="7" t="s">
        <v>3387</v>
      </c>
      <c r="J3" s="7" t="s">
        <v>3388</v>
      </c>
      <c r="L3" s="7" t="s">
        <v>3389</v>
      </c>
    </row>
    <row r="4" spans="2:12" x14ac:dyDescent="0.35">
      <c r="B4" s="2"/>
      <c r="D4" s="2"/>
      <c r="F4" s="2"/>
      <c r="H4" s="8"/>
      <c r="J4" s="2"/>
      <c r="L4" s="2"/>
    </row>
    <row r="5" spans="2:12" ht="21.5" thickBot="1" x14ac:dyDescent="0.55000000000000004">
      <c r="B5" s="5">
        <f>SUM(Table2_1[Revenue])</f>
        <v>277225662.52000016</v>
      </c>
      <c r="C5" s="6"/>
      <c r="D5" s="5">
        <f>SUM(Table2_1[Expenses])</f>
        <v>185386630.15000001</v>
      </c>
      <c r="E5" s="6"/>
      <c r="F5" s="5">
        <f>SUM(Table2_1[Profit])</f>
        <v>91839032.370000064</v>
      </c>
      <c r="G5" s="6"/>
      <c r="H5" s="5">
        <f>AVERAGE(Table2_1[Revenue])</f>
        <v>277225.66252000019</v>
      </c>
      <c r="I5" s="6"/>
      <c r="J5" s="5">
        <f>AVERAGE(Table2_1[Expenses])</f>
        <v>185386.63015000001</v>
      </c>
      <c r="L5" s="9">
        <f>AVERAGE(Table2_1[Profit Margin])</f>
        <v>0.33352031670709453</v>
      </c>
    </row>
  </sheetData>
  <mergeCells count="1">
    <mergeCell ref="I1:L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38DC7-EF3D-4361-A195-BF30A4AB115E}">
  <dimension ref="A1:H18"/>
  <sheetViews>
    <sheetView topLeftCell="A19" workbookViewId="0">
      <selection activeCell="E14" sqref="E14"/>
    </sheetView>
  </sheetViews>
  <sheetFormatPr defaultRowHeight="14.5" x14ac:dyDescent="0.35"/>
  <cols>
    <col min="1" max="1" width="12.36328125" bestFit="1" customWidth="1"/>
    <col min="2" max="2" width="15.1796875" bestFit="1" customWidth="1"/>
    <col min="4" max="4" width="12.36328125" bestFit="1" customWidth="1"/>
    <col min="5" max="6" width="16.1796875" bestFit="1" customWidth="1"/>
    <col min="7" max="7" width="13.1796875" bestFit="1" customWidth="1"/>
    <col min="8" max="8" width="15.1796875" bestFit="1" customWidth="1"/>
  </cols>
  <sheetData>
    <row r="1" spans="1:8" x14ac:dyDescent="0.35">
      <c r="A1" s="10" t="s">
        <v>3390</v>
      </c>
      <c r="B1" t="s">
        <v>3398</v>
      </c>
      <c r="D1" s="10" t="s">
        <v>3390</v>
      </c>
      <c r="E1" t="s">
        <v>3398</v>
      </c>
      <c r="G1" s="10" t="s">
        <v>3390</v>
      </c>
      <c r="H1" t="s">
        <v>3398</v>
      </c>
    </row>
    <row r="2" spans="1:8" x14ac:dyDescent="0.35">
      <c r="A2" s="11" t="s">
        <v>3392</v>
      </c>
      <c r="B2" s="4">
        <v>17214983.689999994</v>
      </c>
      <c r="D2" s="11" t="s">
        <v>52</v>
      </c>
      <c r="E2" s="3">
        <v>12021621.429999998</v>
      </c>
      <c r="G2" s="11" t="s">
        <v>53</v>
      </c>
      <c r="H2" s="3">
        <v>28317302.800000004</v>
      </c>
    </row>
    <row r="3" spans="1:8" x14ac:dyDescent="0.35">
      <c r="A3" s="11" t="s">
        <v>3393</v>
      </c>
      <c r="B3" s="4">
        <v>13666095.690000009</v>
      </c>
      <c r="D3" s="11" t="s">
        <v>3383</v>
      </c>
      <c r="E3" s="3">
        <v>13940789.130000003</v>
      </c>
      <c r="G3" s="11" t="s">
        <v>23</v>
      </c>
      <c r="H3" s="3">
        <v>31668620.220000003</v>
      </c>
    </row>
    <row r="4" spans="1:8" x14ac:dyDescent="0.35">
      <c r="A4" s="11" t="s">
        <v>3394</v>
      </c>
      <c r="B4" s="4">
        <v>16005631.389999989</v>
      </c>
      <c r="D4" s="11" t="s">
        <v>67</v>
      </c>
      <c r="E4" s="3">
        <v>12186809.079999994</v>
      </c>
      <c r="G4" s="11" t="s">
        <v>36</v>
      </c>
      <c r="H4" s="3">
        <v>31853109.350000013</v>
      </c>
    </row>
    <row r="5" spans="1:8" x14ac:dyDescent="0.35">
      <c r="A5" s="11" t="s">
        <v>3395</v>
      </c>
      <c r="B5" s="4">
        <v>15281097.529999999</v>
      </c>
      <c r="D5" s="11" t="s">
        <v>12</v>
      </c>
      <c r="E5" s="3">
        <v>39996279.030000009</v>
      </c>
      <c r="G5" s="11" t="s">
        <v>3391</v>
      </c>
      <c r="H5" s="3">
        <v>91839032.37000002</v>
      </c>
    </row>
    <row r="6" spans="1:8" x14ac:dyDescent="0.35">
      <c r="A6" s="11" t="s">
        <v>3396</v>
      </c>
      <c r="B6" s="4">
        <v>13281156.950000005</v>
      </c>
      <c r="D6" s="11" t="s">
        <v>99</v>
      </c>
      <c r="E6" s="3">
        <v>13693533.700000003</v>
      </c>
    </row>
    <row r="7" spans="1:8" x14ac:dyDescent="0.35">
      <c r="A7" s="11" t="s">
        <v>3397</v>
      </c>
      <c r="B7" s="4">
        <v>16390067.119999994</v>
      </c>
      <c r="D7" s="11" t="s">
        <v>3391</v>
      </c>
      <c r="E7" s="3">
        <v>91839032.37000002</v>
      </c>
    </row>
    <row r="8" spans="1:8" x14ac:dyDescent="0.35">
      <c r="A8" s="11" t="s">
        <v>3391</v>
      </c>
      <c r="B8" s="3">
        <v>91839032.36999999</v>
      </c>
    </row>
    <row r="11" spans="1:8" x14ac:dyDescent="0.35">
      <c r="A11" s="10" t="s">
        <v>3390</v>
      </c>
      <c r="B11" t="s">
        <v>3398</v>
      </c>
      <c r="D11" s="10" t="s">
        <v>3390</v>
      </c>
      <c r="E11" t="s">
        <v>3400</v>
      </c>
      <c r="F11" t="s">
        <v>3399</v>
      </c>
    </row>
    <row r="12" spans="1:8" x14ac:dyDescent="0.35">
      <c r="A12" s="11" t="s">
        <v>38</v>
      </c>
      <c r="B12" s="3">
        <v>15795368.319999993</v>
      </c>
      <c r="D12" s="11" t="s">
        <v>3392</v>
      </c>
      <c r="E12" s="3">
        <v>33775070.789999999</v>
      </c>
      <c r="F12" s="3">
        <v>50990054.479999989</v>
      </c>
    </row>
    <row r="13" spans="1:8" x14ac:dyDescent="0.35">
      <c r="A13" s="11" t="s">
        <v>79</v>
      </c>
      <c r="B13" s="3">
        <v>15959453.26</v>
      </c>
      <c r="D13" s="11" t="s">
        <v>3393</v>
      </c>
      <c r="E13" s="3">
        <v>28591225.299999997</v>
      </c>
      <c r="F13" s="3">
        <v>42257320.99000001</v>
      </c>
    </row>
    <row r="14" spans="1:8" x14ac:dyDescent="0.35">
      <c r="A14" s="11" t="s">
        <v>74</v>
      </c>
      <c r="B14" s="3">
        <v>12979824.059999999</v>
      </c>
      <c r="D14" s="11" t="s">
        <v>3394</v>
      </c>
      <c r="E14" s="3">
        <v>30282933.909999978</v>
      </c>
      <c r="F14" s="3">
        <v>46288565.300000004</v>
      </c>
    </row>
    <row r="15" spans="1:8" x14ac:dyDescent="0.35">
      <c r="A15" s="11" t="s">
        <v>15</v>
      </c>
      <c r="B15" s="3">
        <v>15438941.199999999</v>
      </c>
      <c r="D15" s="11" t="s">
        <v>3395</v>
      </c>
      <c r="E15" s="3">
        <v>30817965.189999986</v>
      </c>
      <c r="F15" s="3">
        <v>46099062.719999984</v>
      </c>
    </row>
    <row r="16" spans="1:8" x14ac:dyDescent="0.35">
      <c r="A16" s="11" t="s">
        <v>46</v>
      </c>
      <c r="B16" s="3">
        <v>16898337.219999999</v>
      </c>
      <c r="D16" s="11" t="s">
        <v>3396</v>
      </c>
      <c r="E16" s="3">
        <v>26920084.200000007</v>
      </c>
      <c r="F16" s="3">
        <v>40201241.149999976</v>
      </c>
    </row>
    <row r="17" spans="1:6" x14ac:dyDescent="0.35">
      <c r="A17" s="11" t="s">
        <v>25</v>
      </c>
      <c r="B17" s="3">
        <v>14767108.310000001</v>
      </c>
      <c r="D17" s="11" t="s">
        <v>3397</v>
      </c>
      <c r="E17" s="3">
        <v>34999350.759999998</v>
      </c>
      <c r="F17" s="3">
        <v>51389417.879999965</v>
      </c>
    </row>
    <row r="18" spans="1:6" x14ac:dyDescent="0.35">
      <c r="A18" s="11" t="s">
        <v>3391</v>
      </c>
      <c r="B18" s="3">
        <v>91839032.36999999</v>
      </c>
      <c r="D18" s="11" t="s">
        <v>3391</v>
      </c>
      <c r="E18" s="3">
        <v>185386630.14999995</v>
      </c>
      <c r="F18" s="3">
        <v>277225662.51999998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CA6C04-C570-43AC-B7A3-B602D4D9C85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Financial_Raw_Data</vt:lpstr>
      <vt:lpstr>Table2</vt:lpstr>
      <vt:lpstr>Sheet1</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AYO UZONE</cp:lastModifiedBy>
  <dcterms:created xsi:type="dcterms:W3CDTF">2026-07-15T14:23:35Z</dcterms:created>
  <dcterms:modified xsi:type="dcterms:W3CDTF">2026-07-16T15:39:00Z</dcterms:modified>
</cp:coreProperties>
</file>